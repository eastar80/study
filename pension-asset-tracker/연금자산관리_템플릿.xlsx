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법" sheetId="1" state="visible" r:id="rId1"/>
    <sheet name="대시보드" sheetId="2" state="visible" r:id="rId2"/>
    <sheet name="계좌설정" sheetId="3" state="visible" r:id="rId3"/>
    <sheet name="ETF전체목록" sheetId="4" state="visible" r:id="rId4"/>
    <sheet name="현황_리밸런싱" sheetId="5" state="visible" r:id="rId5"/>
    <sheet name="리밸런싱_히스토리" sheetId="6" state="visible" r:id="rId6"/>
    <sheet name="시계열_스냅샷" sheetId="7" state="visible" r:id="rId7"/>
    <sheet name="차트" sheetId="8" state="visible" r:id="rId8"/>
  </sheets>
  <definedNames>
    <definedName name="_xlnm._FilterDatabase" localSheetId="3" hidden="1">'ETF전체목록'!$A$5:$D$1005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&quot;원&quot;"/>
    <numFmt numFmtId="166" formatCode="yyyy-mm-dd"/>
  </numFmts>
  <fonts count="13">
    <font>
      <name val="Calibri"/>
      <family val="2"/>
      <color theme="1"/>
      <sz val="11"/>
      <scheme val="minor"/>
    </font>
    <font>
      <b val="1"/>
      <color rgb="001F3864"/>
      <sz val="18"/>
    </font>
    <font>
      <i val="1"/>
      <color rgb="00666666"/>
    </font>
    <font>
      <b val="1"/>
      <color rgb="001F3864"/>
      <sz val="12"/>
    </font>
    <font>
      <b val="1"/>
      <color rgb="001F3864"/>
      <sz val="16"/>
    </font>
    <font>
      <i val="1"/>
      <color rgb="00C00000"/>
      <sz val="9"/>
    </font>
    <font>
      <b val="1"/>
      <color rgb="00FFFFFF"/>
      <sz val="11"/>
    </font>
    <font>
      <b val="1"/>
      <color rgb="00666666"/>
      <sz val="9"/>
    </font>
    <font>
      <i val="1"/>
      <color rgb="00666666"/>
      <sz val="9"/>
    </font>
    <font>
      <b val="1"/>
    </font>
    <font>
      <b val="1"/>
      <color rgb="001F3864"/>
      <sz val="11"/>
    </font>
    <font>
      <b val="1"/>
      <color rgb="001F3864"/>
      <sz val="2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165" fontId="11" fillId="0" borderId="0" pivotButton="0" quotePrefix="0" xfId="0"/>
    <xf numFmtId="166" fontId="12" fillId="0" borderId="0" pivotButton="0" quotePrefix="0" xfId="0"/>
    <xf numFmtId="165" fontId="12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164" fontId="0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0" fillId="3" borderId="1" pivotButton="0" quotePrefix="0" xfId="0"/>
    <xf numFmtId="3" fontId="0" fillId="3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9" fillId="4" borderId="1" pivotButton="0" quotePrefix="0" xfId="0"/>
    <xf numFmtId="165" fontId="9" fillId="4" borderId="1" pivotButton="0" quotePrefix="0" xfId="0"/>
    <xf numFmtId="166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C00000"/>
      </font>
    </dxf>
    <dxf>
      <fill>
        <patternFill patternType="solid">
          <fgColor rgb="00F8CBAD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총자산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'시계열_스냅샷'!F4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'시계열_스냅샷'!$A$5:$A$24</f>
            </numRef>
          </cat>
          <val>
            <numRef>
              <f>'시계열_스냅샷'!$F$5:$F$24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총자산(원)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계좌별 자산 추이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'시계열_스냅샷'!B4</f>
            </strRef>
          </tx>
          <spPr>
            <a:ln>
              <a:prstDash val="solid"/>
            </a:ln>
          </spPr>
          <cat>
            <numRef>
              <f>'시계열_스냅샷'!$A$5:$A$24</f>
            </numRef>
          </cat>
          <val>
            <numRef>
              <f>'시계열_스냅샷'!$B$5:$B$24</f>
            </numRef>
          </val>
        </ser>
        <ser>
          <idx val="1"/>
          <order val="1"/>
          <tx>
            <strRef>
              <f>'시계열_스냅샷'!C4</f>
            </strRef>
          </tx>
          <spPr>
            <a:ln>
              <a:prstDash val="solid"/>
            </a:ln>
          </spPr>
          <cat>
            <numRef>
              <f>'시계열_스냅샷'!$A$5:$A$24</f>
            </numRef>
          </cat>
          <val>
            <numRef>
              <f>'시계열_스냅샷'!$C$5:$C$24</f>
            </numRef>
          </val>
        </ser>
        <ser>
          <idx val="2"/>
          <order val="2"/>
          <tx>
            <strRef>
              <f>'시계열_스냅샷'!D4</f>
            </strRef>
          </tx>
          <spPr>
            <a:ln>
              <a:prstDash val="solid"/>
            </a:ln>
          </spPr>
          <cat>
            <numRef>
              <f>'시계열_스냅샷'!$A$5:$A$24</f>
            </numRef>
          </cat>
          <val>
            <numRef>
              <f>'시계열_스냅샷'!$D$5:$D$24</f>
            </numRef>
          </val>
        </ser>
        <ser>
          <idx val="3"/>
          <order val="3"/>
          <tx>
            <strRef>
              <f>'시계열_스냅샷'!E4</f>
            </strRef>
          </tx>
          <spPr>
            <a:ln>
              <a:prstDash val="solid"/>
            </a:ln>
          </spPr>
          <cat>
            <numRef>
              <f>'시계열_스냅샷'!$A$5:$A$24</f>
            </numRef>
          </cat>
          <val>
            <numRef>
              <f>'시계열_스냅샷'!$E$5:$E$24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종목별 현재비중 vs 목표비중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'현황_리밸런싱'!I4</f>
            </strRef>
          </tx>
          <spPr>
            <a:ln>
              <a:prstDash val="solid"/>
            </a:ln>
          </spPr>
          <cat>
            <numRef>
              <f>'현황_리밸런싱'!$D$5:$D$20</f>
            </numRef>
          </cat>
          <val>
            <numRef>
              <f>'현황_리밸런싱'!$I$5:$I$20</f>
            </numRef>
          </val>
        </ser>
        <ser>
          <idx val="1"/>
          <order val="1"/>
          <tx>
            <strRef>
              <f>'현황_리밸런싱'!J4</f>
            </strRef>
          </tx>
          <spPr>
            <a:ln>
              <a:prstDash val="solid"/>
            </a:ln>
          </spPr>
          <cat>
            <numRef>
              <f>'현황_리밸런싱'!$D$5:$D$20</f>
            </numRef>
          </cat>
          <val>
            <numRef>
              <f>'현황_리밸런싱'!$J$5:$J$20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계좌별 자산배분</a:t>
            </a:r>
          </a:p>
        </rich>
      </tx>
    </title>
    <plotArea>
      <pieChart>
        <varyColors val="1"/>
        <ser>
          <idx val="0"/>
          <order val="0"/>
          <tx>
            <strRef>
              <f>'대시보드'!D10</f>
            </strRef>
          </tx>
          <spPr>
            <a:ln>
              <a:prstDash val="solid"/>
            </a:ln>
          </spPr>
          <cat>
            <numRef>
              <f>'대시보드'!$B$11:$B$14</f>
            </numRef>
          </cat>
          <val>
            <numRef>
              <f>'대시보드'!$D$11:$D$14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20</row>
      <rowOff>0</rowOff>
    </from>
    <ext cx="864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20</row>
      <rowOff>0</rowOff>
    </from>
    <ext cx="432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연금 자산(IRP·연금저축) 리밸런싱 관리 템플릿</t>
        </is>
      </c>
    </row>
    <row r="3">
      <c r="B3" s="2" t="inlineStr">
        <is>
          <t>4개 계좌 × 다수 ETF, 분기별 리밸런싱을 관리하기 위한 엑셀 템플릿입니다.</t>
        </is>
      </c>
    </row>
    <row r="5">
      <c r="B5" s="3" t="inlineStr">
        <is>
          <t>① 계좌설정</t>
        </is>
      </c>
    </row>
    <row r="6" ht="32" customHeight="1">
      <c r="B6" s="4" t="inlineStr">
        <is>
          <t>4개 계좌(IRP/연금저축)와 각 계좌가 보유할 ETF 목록·목표비중(%)을 등록합니다. 계좌당 목표비중 합계는 100%가 되어야 합니다. (예시 데이터가 들어있으니 실제 보유 종목으로 교체하세요)</t>
        </is>
      </c>
    </row>
    <row r="8">
      <c r="B8" s="3" t="inlineStr">
        <is>
          <t>② ETF전체목록</t>
        </is>
      </c>
    </row>
    <row r="9" ht="32" customHeight="1">
      <c r="B9" s="4" t="inlineStr">
        <is>
          <t>상장된 모든 ETF의 티커·이름을 모아둔 참고용 시트입니다. 새 종목을 계좌설정에 추가할 때 여기서 이름으로 검색해 티커를 복사해 쓰면 됩니다. scripts/refresh_etf_list.py 실행 시 최신 목록으로 갱신됩니다.</t>
        </is>
      </c>
    </row>
    <row r="11">
      <c r="B11" s="3" t="inlineStr">
        <is>
          <t>③ 현황_리밸런싱</t>
        </is>
      </c>
    </row>
    <row r="12" ht="32" customHeight="1">
      <c r="B12" s="4" t="inlineStr">
        <is>
          <t>분기마다 계좌설정과 '동일한 순서'로 보유수량·현재가만 입력하면, 평가금액/현재비중/목표비중과의 괴리, 계좌별 매수·매도 필요 수량이 자동 계산됩니다. 현재가는 scripts/fetch_prices.py 로 자동 입력할 수 있습니다.</t>
        </is>
      </c>
    </row>
    <row r="14">
      <c r="B14" s="3" t="inlineStr">
        <is>
          <t>④ 리밸런싱_히스토리</t>
        </is>
      </c>
    </row>
    <row r="15" ht="32" customHeight="1">
      <c r="B15" s="4" t="inlineStr">
        <is>
          <t>실제로 체결한 매수/매도 내역을 한 줄씩 기록하는 로그입니다. 계좌별칭·ETF명은 계좌설정을 참조해 자동으로 채워집니다. scripts/log_rebalance.py 를 실행하면 현황_리밸런싱의 매수/매도 대상이 오늘 날짜로 자동 초안 작성되어, 체결가만 확인/수정하면 됩니다.</t>
        </is>
      </c>
    </row>
    <row r="17">
      <c r="B17" s="3" t="inlineStr">
        <is>
          <t>⑤ 시계열_스냅샷</t>
        </is>
      </c>
    </row>
    <row r="18" ht="32" customHeight="1">
      <c r="B18" s="4" t="inlineStr">
        <is>
          <t>분기가 끝날 때마다(리밸런싱 직후) 계좌별 평가금액 합계를 한 줄 추가하세요. 총자산 추이와 계좌별 비중 변화를 시계열로 볼 수 있습니다.</t>
        </is>
      </c>
    </row>
    <row r="20">
      <c r="B20" s="3" t="inlineStr">
        <is>
          <t>⑥ 대시보드</t>
        </is>
      </c>
    </row>
    <row r="21" ht="32" customHeight="1">
      <c r="B21" s="4" t="inlineStr">
        <is>
          <t>현재 총자산, 계좌별 요약, 목표 대비 괴리가 큰 종목을 한눈에 보여주는 요약 화면입니다.</t>
        </is>
      </c>
    </row>
    <row r="23">
      <c r="B23" s="3" t="inlineStr">
        <is>
          <t>⑦ 차트</t>
        </is>
      </c>
    </row>
    <row r="24" ht="32" customHeight="1">
      <c r="B24" s="4" t="inlineStr">
        <is>
          <t>총자산 추이, 계좌별 자산 추이, 목표비중 대비 현재비중, 계좌별 자산배분 파이차트를 모아둔 시트입니다.</t>
        </is>
      </c>
    </row>
    <row r="26">
      <c r="B26" s="3" t="inlineStr">
        <is>
          <t>자동화 스크립트 (scripts/ 폴더, 로컬 PC에서 python3 로 실행)</t>
        </is>
      </c>
    </row>
    <row r="27">
      <c r="B27" t="inlineStr">
        <is>
          <t>· fetch_prices.py   : 계좌설정에 등록된 ETF들의 최근 종가를 받아와 현황_리밸런싱의 '현재가'를 자동으로 채웁니다.</t>
        </is>
      </c>
    </row>
    <row r="28">
      <c r="B28" t="inlineStr">
        <is>
          <t>· log_rebalance.py  : 현황_리밸런싱에서 매수/매도가 필요한 종목을 오늘 날짜로 리밸런싱_히스토리에 초안 기록합니다.</t>
        </is>
      </c>
    </row>
    <row r="29">
      <c r="B29" t="inlineStr">
        <is>
          <t>· refresh_etf_list.py : ETF전체목록 시트를 최신 상장 ETF 목록으로 갱신합니다.</t>
        </is>
      </c>
    </row>
    <row r="30">
      <c r="B30" t="inlineStr">
        <is>
          <t>(모두 한국거래소 공개 데이터를 사용하며, 별도 로그인/증권사 계정 연동이 필요 없습니다. 실행 전 pip install -r scripts/requirements.txt)</t>
        </is>
      </c>
    </row>
    <row r="32">
      <c r="B32" s="3" t="inlineStr">
        <is>
          <t>권장 루틴 (분기 1회, 약 10분)</t>
        </is>
      </c>
    </row>
    <row r="33">
      <c r="B33" t="inlineStr">
        <is>
          <t>1) python3 scripts/fetch_prices.py 실행 → 현황_리밸런싱의 현재가 자동 갱신</t>
        </is>
      </c>
    </row>
    <row r="34">
      <c r="B34" t="inlineStr">
        <is>
          <t>2) 증권사 앱에서 4계좌 각각의 실제 보유수량을 확인해 현황_리밸런싱에 입력 → 매수·매도 수량 자동 산출 확인</t>
        </is>
      </c>
    </row>
    <row r="35">
      <c r="B35" t="inlineStr">
        <is>
          <t>3) 산출된 대로 각 계좌에서 실제 주문 실행</t>
        </is>
      </c>
    </row>
    <row r="36">
      <c r="B36" t="inlineStr">
        <is>
          <t>4) python3 scripts/log_rebalance.py 실행 → 리밸런싱_히스토리에 오늘 날짜로 매수/매도 초안 기록, 실제 체결가로 수정</t>
        </is>
      </c>
    </row>
    <row r="37">
      <c r="B37" t="inlineStr">
        <is>
          <t>5) 시계열_스냅샷에 이번 분기 계좌별 합계금액 한 줄 추가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8" customWidth="1" min="4" max="4"/>
    <col width="14" customWidth="1" min="5" max="5"/>
    <col width="14" customWidth="1" min="6" max="6"/>
    <col width="4" customWidth="1" min="7" max="7"/>
  </cols>
  <sheetData>
    <row r="2">
      <c r="B2" s="1" t="inlineStr">
        <is>
          <t>연금 자산 대시보드</t>
        </is>
      </c>
    </row>
    <row r="3">
      <c r="B3" s="2">
        <f>"기준일: "&amp;TEXT(TODAY(),"yyyy-mm-dd")</f>
        <v/>
      </c>
    </row>
    <row r="5">
      <c r="B5" s="5" t="inlineStr">
        <is>
          <t>총자산</t>
        </is>
      </c>
      <c r="D5" s="5" t="inlineStr">
        <is>
          <t>최근 리밸런싱 실행일</t>
        </is>
      </c>
      <c r="F5" s="5" t="inlineStr">
        <is>
          <t>최근 스냅샷 총자산</t>
        </is>
      </c>
    </row>
    <row r="6">
      <c r="B6" s="6">
        <f>현황_리밸런싱!G21</f>
        <v/>
      </c>
      <c r="D6" s="7">
        <f>IFERROR(MAX(리밸런싱_히스토리!A5:A64),"기록 없음")</f>
        <v/>
      </c>
      <c r="F6" s="8">
        <f>IFERROR(LOOKUP(2,1/(시계열_스냅샷!F5:F24&lt;&gt;""),시계열_스냅샷!F5:F24),"데이터 없음")</f>
        <v/>
      </c>
    </row>
    <row r="9">
      <c r="B9" s="5" t="inlineStr">
        <is>
          <t>계좌별 요약</t>
        </is>
      </c>
    </row>
    <row r="10">
      <c r="B10" s="9" t="inlineStr">
        <is>
          <t>계좌별칭</t>
        </is>
      </c>
      <c r="C10" s="9" t="inlineStr">
        <is>
          <t>계좌구분</t>
        </is>
      </c>
      <c r="D10" s="9" t="inlineStr">
        <is>
          <t>평가금액</t>
        </is>
      </c>
      <c r="E10" s="9" t="inlineStr">
        <is>
          <t>총자산 대비 비중</t>
        </is>
      </c>
    </row>
    <row r="11">
      <c r="B11" s="10">
        <f>계좌설정!C5</f>
        <v/>
      </c>
      <c r="C11" s="10">
        <f>계좌설정!B5</f>
        <v/>
      </c>
      <c r="D11" s="11">
        <f>SUMIF(현황_리밸런싱!$A$5:$A$20,계좌설정!A5,현황_리밸런싱!$G$5:$G$20)</f>
        <v/>
      </c>
      <c r="E11" s="12">
        <f>IF($B$6=0,0,D11/$B$6)</f>
        <v/>
      </c>
    </row>
    <row r="12">
      <c r="B12" s="10">
        <f>계좌설정!C9</f>
        <v/>
      </c>
      <c r="C12" s="10">
        <f>계좌설정!B9</f>
        <v/>
      </c>
      <c r="D12" s="11">
        <f>SUMIF(현황_리밸런싱!$A$5:$A$20,계좌설정!A9,현황_리밸런싱!$G$5:$G$20)</f>
        <v/>
      </c>
      <c r="E12" s="12">
        <f>IF($B$6=0,0,D12/$B$6)</f>
        <v/>
      </c>
    </row>
    <row r="13">
      <c r="B13" s="10">
        <f>계좌설정!C13</f>
        <v/>
      </c>
      <c r="C13" s="10">
        <f>계좌설정!B13</f>
        <v/>
      </c>
      <c r="D13" s="11">
        <f>SUMIF(현황_리밸런싱!$A$5:$A$20,계좌설정!A13,현황_리밸런싱!$G$5:$G$20)</f>
        <v/>
      </c>
      <c r="E13" s="12">
        <f>IF($B$6=0,0,D13/$B$6)</f>
        <v/>
      </c>
    </row>
    <row r="14">
      <c r="B14" s="10">
        <f>계좌설정!C17</f>
        <v/>
      </c>
      <c r="C14" s="10">
        <f>계좌설정!B17</f>
        <v/>
      </c>
      <c r="D14" s="11">
        <f>SUMIF(현황_리밸런싱!$A$5:$A$20,계좌설정!A17,현황_리밸런싱!$G$5:$G$20)</f>
        <v/>
      </c>
      <c r="E14" s="12">
        <f>IF($B$6=0,0,D14/$B$6)</f>
        <v/>
      </c>
    </row>
    <row r="17">
      <c r="B17" s="5" t="inlineStr">
        <is>
          <t>목표비중 대비 괴리 TOP5 (리밸런싱 우선순위)</t>
        </is>
      </c>
    </row>
    <row r="18">
      <c r="B18" s="9" t="inlineStr">
        <is>
          <t>계좌별칭</t>
        </is>
      </c>
      <c r="C18" s="9" t="inlineStr">
        <is>
          <t>ETF명</t>
        </is>
      </c>
      <c r="D18" s="9" t="inlineStr">
        <is>
          <t>현재비중</t>
        </is>
      </c>
      <c r="E18" s="9" t="inlineStr">
        <is>
          <t>목표비중</t>
        </is>
      </c>
      <c r="F18" s="9" t="inlineStr">
        <is>
          <t>괴리(%p)</t>
        </is>
      </c>
    </row>
    <row r="19">
      <c r="B19" s="10">
        <f>INDEX(현황_리밸런싱!$B$5:$B$20,MATCH(LARGE(현황_리밸런싱!$P$5:$P$20,1),현황_리밸런싱!$P$5:$P$20,0))</f>
        <v/>
      </c>
      <c r="C19" s="10">
        <f>INDEX(현황_리밸런싱!$D$5:$D$20,MATCH(LARGE(현황_리밸런싱!$P$5:$P$20,1),현황_리밸런싱!$P$5:$P$20,0))</f>
        <v/>
      </c>
      <c r="D19" s="12">
        <f>INDEX(현황_리밸런싱!$I$5:$I$20,MATCH(LARGE(현황_리밸런싱!$P$5:$P$20,1),현황_리밸런싱!$P$5:$P$20,0))</f>
        <v/>
      </c>
      <c r="E19" s="12">
        <f>INDEX(현황_리밸런싱!$J$5:$J$20,MATCH(LARGE(현황_리밸런싱!$P$5:$P$20,1),현황_리밸런싱!$P$5:$P$20,0))</f>
        <v/>
      </c>
      <c r="F19" s="12">
        <f>INDEX(현황_리밸런싱!$K$5:$K$20,MATCH(LARGE(현황_리밸런싱!$P$5:$P$20,1),현황_리밸런싱!$P$5:$P$20,0))</f>
        <v/>
      </c>
    </row>
    <row r="20">
      <c r="B20" s="10">
        <f>INDEX(현황_리밸런싱!$B$5:$B$20,MATCH(LARGE(현황_리밸런싱!$P$5:$P$20,2),현황_리밸런싱!$P$5:$P$20,0))</f>
        <v/>
      </c>
      <c r="C20" s="10">
        <f>INDEX(현황_리밸런싱!$D$5:$D$20,MATCH(LARGE(현황_리밸런싱!$P$5:$P$20,2),현황_리밸런싱!$P$5:$P$20,0))</f>
        <v/>
      </c>
      <c r="D20" s="12">
        <f>INDEX(현황_리밸런싱!$I$5:$I$20,MATCH(LARGE(현황_리밸런싱!$P$5:$P$20,2),현황_리밸런싱!$P$5:$P$20,0))</f>
        <v/>
      </c>
      <c r="E20" s="12">
        <f>INDEX(현황_리밸런싱!$J$5:$J$20,MATCH(LARGE(현황_리밸런싱!$P$5:$P$20,2),현황_리밸런싱!$P$5:$P$20,0))</f>
        <v/>
      </c>
      <c r="F20" s="12">
        <f>INDEX(현황_리밸런싱!$K$5:$K$20,MATCH(LARGE(현황_리밸런싱!$P$5:$P$20,2),현황_리밸런싱!$P$5:$P$20,0))</f>
        <v/>
      </c>
    </row>
    <row r="21">
      <c r="B21" s="10">
        <f>INDEX(현황_리밸런싱!$B$5:$B$20,MATCH(LARGE(현황_리밸런싱!$P$5:$P$20,3),현황_리밸런싱!$P$5:$P$20,0))</f>
        <v/>
      </c>
      <c r="C21" s="10">
        <f>INDEX(현황_리밸런싱!$D$5:$D$20,MATCH(LARGE(현황_리밸런싱!$P$5:$P$20,3),현황_리밸런싱!$P$5:$P$20,0))</f>
        <v/>
      </c>
      <c r="D21" s="12">
        <f>INDEX(현황_리밸런싱!$I$5:$I$20,MATCH(LARGE(현황_리밸런싱!$P$5:$P$20,3),현황_리밸런싱!$P$5:$P$20,0))</f>
        <v/>
      </c>
      <c r="E21" s="12">
        <f>INDEX(현황_리밸런싱!$J$5:$J$20,MATCH(LARGE(현황_리밸런싱!$P$5:$P$20,3),현황_리밸런싱!$P$5:$P$20,0))</f>
        <v/>
      </c>
      <c r="F21" s="12">
        <f>INDEX(현황_리밸런싱!$K$5:$K$20,MATCH(LARGE(현황_리밸런싱!$P$5:$P$20,3),현황_리밸런싱!$P$5:$P$20,0))</f>
        <v/>
      </c>
    </row>
    <row r="22">
      <c r="B22" s="10">
        <f>INDEX(현황_리밸런싱!$B$5:$B$20,MATCH(LARGE(현황_리밸런싱!$P$5:$P$20,4),현황_리밸런싱!$P$5:$P$20,0))</f>
        <v/>
      </c>
      <c r="C22" s="10">
        <f>INDEX(현황_리밸런싱!$D$5:$D$20,MATCH(LARGE(현황_리밸런싱!$P$5:$P$20,4),현황_리밸런싱!$P$5:$P$20,0))</f>
        <v/>
      </c>
      <c r="D22" s="12">
        <f>INDEX(현황_리밸런싱!$I$5:$I$20,MATCH(LARGE(현황_리밸런싱!$P$5:$P$20,4),현황_리밸런싱!$P$5:$P$20,0))</f>
        <v/>
      </c>
      <c r="E22" s="12">
        <f>INDEX(현황_리밸런싱!$J$5:$J$20,MATCH(LARGE(현황_리밸런싱!$P$5:$P$20,4),현황_리밸런싱!$P$5:$P$20,0))</f>
        <v/>
      </c>
      <c r="F22" s="12">
        <f>INDEX(현황_리밸런싱!$K$5:$K$20,MATCH(LARGE(현황_리밸런싱!$P$5:$P$20,4),현황_리밸런싱!$P$5:$P$20,0))</f>
        <v/>
      </c>
    </row>
    <row r="23">
      <c r="B23" s="10">
        <f>INDEX(현황_리밸런싱!$B$5:$B$20,MATCH(LARGE(현황_리밸런싱!$P$5:$P$20,5),현황_리밸런싱!$P$5:$P$20,0))</f>
        <v/>
      </c>
      <c r="C23" s="10">
        <f>INDEX(현황_리밸런싱!$D$5:$D$20,MATCH(LARGE(현황_리밸런싱!$P$5:$P$20,5),현황_리밸런싱!$P$5:$P$20,0))</f>
        <v/>
      </c>
      <c r="D23" s="12">
        <f>INDEX(현황_리밸런싱!$I$5:$I$20,MATCH(LARGE(현황_리밸런싱!$P$5:$P$20,5),현황_리밸런싱!$P$5:$P$20,0))</f>
        <v/>
      </c>
      <c r="E23" s="12">
        <f>INDEX(현황_리밸런싱!$J$5:$J$20,MATCH(LARGE(현황_리밸런싱!$P$5:$P$20,5),현황_리밸런싱!$P$5:$P$20,0))</f>
        <v/>
      </c>
      <c r="F23" s="12">
        <f>INDEX(현황_리밸런싱!$K$5:$K$20,MATCH(LARGE(현황_리밸런싱!$P$5:$P$20,5),현황_리밸런싱!$P$5:$P$20,0))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6" customWidth="1" min="4" max="4"/>
    <col width="10" customWidth="1" min="5" max="5"/>
    <col width="26" customWidth="1" min="6" max="6"/>
    <col width="12" customWidth="1" min="7" max="7"/>
  </cols>
  <sheetData>
    <row r="1">
      <c r="A1" s="13" t="inlineStr">
        <is>
          <t>계좌 &amp; 목표 포트폴리오 설정</t>
        </is>
      </c>
    </row>
    <row r="2">
      <c r="A2" s="14" t="inlineStr">
        <is>
          <t>※ 예시 데이터입니다. 실제 보유 계좌/ETF/목표비중으로 교체하세요. 계좌당 목표비중 합계는 100%가 되어야 합니다.</t>
        </is>
      </c>
    </row>
    <row r="4">
      <c r="A4" s="9" t="inlineStr">
        <is>
          <t>계좌ID</t>
        </is>
      </c>
      <c r="B4" s="9" t="inlineStr">
        <is>
          <t>계좌구분</t>
        </is>
      </c>
      <c r="C4" s="9" t="inlineStr">
        <is>
          <t>계좌별칭</t>
        </is>
      </c>
      <c r="D4" s="9" t="inlineStr">
        <is>
          <t>증권사</t>
        </is>
      </c>
      <c r="E4" s="9" t="inlineStr">
        <is>
          <t>티커</t>
        </is>
      </c>
      <c r="F4" s="9" t="inlineStr">
        <is>
          <t>ETF명</t>
        </is>
      </c>
      <c r="G4" s="9" t="inlineStr">
        <is>
          <t>목표비중</t>
        </is>
      </c>
    </row>
    <row r="5">
      <c r="A5" s="10" t="inlineStr">
        <is>
          <t>A1</t>
        </is>
      </c>
      <c r="B5" s="10" t="inlineStr">
        <is>
          <t>IRP</t>
        </is>
      </c>
      <c r="C5" s="10" t="inlineStr">
        <is>
          <t>IRP-1(미래에셋)</t>
        </is>
      </c>
      <c r="D5" s="10" t="inlineStr">
        <is>
          <t>미래에셋증권</t>
        </is>
      </c>
      <c r="E5" s="10" t="inlineStr">
        <is>
          <t>379800</t>
        </is>
      </c>
      <c r="F5" s="10" t="inlineStr">
        <is>
          <t>KODEX 미국S&amp;P500</t>
        </is>
      </c>
      <c r="G5" s="12" t="n">
        <v>0.4</v>
      </c>
    </row>
    <row r="6">
      <c r="A6" s="10" t="inlineStr">
        <is>
          <t>A1</t>
        </is>
      </c>
      <c r="B6" s="10" t="inlineStr">
        <is>
          <t>IRP</t>
        </is>
      </c>
      <c r="C6" s="10" t="inlineStr">
        <is>
          <t>IRP-1(미래에셋)</t>
        </is>
      </c>
      <c r="D6" s="10" t="inlineStr">
        <is>
          <t>미래에셋증권</t>
        </is>
      </c>
      <c r="E6" s="10" t="inlineStr">
        <is>
          <t>381170</t>
        </is>
      </c>
      <c r="F6" s="10" t="inlineStr">
        <is>
          <t>TIGER 미국테크TOP10</t>
        </is>
      </c>
      <c r="G6" s="12" t="n">
        <v>0.2</v>
      </c>
    </row>
    <row r="7">
      <c r="A7" s="10" t="inlineStr">
        <is>
          <t>A1</t>
        </is>
      </c>
      <c r="B7" s="10" t="inlineStr">
        <is>
          <t>IRP</t>
        </is>
      </c>
      <c r="C7" s="10" t="inlineStr">
        <is>
          <t>IRP-1(미래에셋)</t>
        </is>
      </c>
      <c r="D7" s="10" t="inlineStr">
        <is>
          <t>미래에셋증권</t>
        </is>
      </c>
      <c r="E7" s="10" t="inlineStr">
        <is>
          <t>360750</t>
        </is>
      </c>
      <c r="F7" s="10" t="inlineStr">
        <is>
          <t>TIGER 미국나스닥100</t>
        </is>
      </c>
      <c r="G7" s="12" t="n">
        <v>0.2</v>
      </c>
    </row>
    <row r="8">
      <c r="A8" s="10" t="inlineStr">
        <is>
          <t>A1</t>
        </is>
      </c>
      <c r="B8" s="10" t="inlineStr">
        <is>
          <t>IRP</t>
        </is>
      </c>
      <c r="C8" s="10" t="inlineStr">
        <is>
          <t>IRP-1(미래에셋)</t>
        </is>
      </c>
      <c r="D8" s="10" t="inlineStr">
        <is>
          <t>미래에셋증권</t>
        </is>
      </c>
      <c r="E8" s="10" t="inlineStr">
        <is>
          <t>305080</t>
        </is>
      </c>
      <c r="F8" s="10" t="inlineStr">
        <is>
          <t>TIGER 미국채10년선물</t>
        </is>
      </c>
      <c r="G8" s="12" t="n">
        <v>0.2</v>
      </c>
    </row>
    <row r="9">
      <c r="A9" s="10" t="inlineStr">
        <is>
          <t>A2</t>
        </is>
      </c>
      <c r="B9" s="10" t="inlineStr">
        <is>
          <t>연금저축</t>
        </is>
      </c>
      <c r="C9" s="10" t="inlineStr">
        <is>
          <t>연금저축-1(미래에셋)</t>
        </is>
      </c>
      <c r="D9" s="10" t="inlineStr">
        <is>
          <t>미래에셋증권</t>
        </is>
      </c>
      <c r="E9" s="10" t="inlineStr">
        <is>
          <t>069500</t>
        </is>
      </c>
      <c r="F9" s="10" t="inlineStr">
        <is>
          <t>KODEX 200</t>
        </is>
      </c>
      <c r="G9" s="12" t="n">
        <v>0.4</v>
      </c>
    </row>
    <row r="10">
      <c r="A10" s="10" t="inlineStr">
        <is>
          <t>A2</t>
        </is>
      </c>
      <c r="B10" s="10" t="inlineStr">
        <is>
          <t>연금저축</t>
        </is>
      </c>
      <c r="C10" s="10" t="inlineStr">
        <is>
          <t>연금저축-1(미래에셋)</t>
        </is>
      </c>
      <c r="D10" s="10" t="inlineStr">
        <is>
          <t>미래에셋증권</t>
        </is>
      </c>
      <c r="E10" s="10" t="inlineStr">
        <is>
          <t>148070</t>
        </is>
      </c>
      <c r="F10" s="10" t="inlineStr">
        <is>
          <t>KOSEF 국고채10년</t>
        </is>
      </c>
      <c r="G10" s="12" t="n">
        <v>0.3</v>
      </c>
    </row>
    <row r="11">
      <c r="A11" s="10" t="inlineStr">
        <is>
          <t>A2</t>
        </is>
      </c>
      <c r="B11" s="10" t="inlineStr">
        <is>
          <t>연금저축</t>
        </is>
      </c>
      <c r="C11" s="10" t="inlineStr">
        <is>
          <t>연금저축-1(미래에셋)</t>
        </is>
      </c>
      <c r="D11" s="10" t="inlineStr">
        <is>
          <t>미래에셋증권</t>
        </is>
      </c>
      <c r="E11" s="10" t="inlineStr">
        <is>
          <t>132030</t>
        </is>
      </c>
      <c r="F11" s="10" t="inlineStr">
        <is>
          <t>KODEX 골드선물(H)</t>
        </is>
      </c>
      <c r="G11" s="12" t="n">
        <v>0.15</v>
      </c>
    </row>
    <row r="12">
      <c r="A12" s="10" t="inlineStr">
        <is>
          <t>A2</t>
        </is>
      </c>
      <c r="B12" s="10" t="inlineStr">
        <is>
          <t>연금저축</t>
        </is>
      </c>
      <c r="C12" s="10" t="inlineStr">
        <is>
          <t>연금저축-1(미래에셋)</t>
        </is>
      </c>
      <c r="D12" s="10" t="inlineStr">
        <is>
          <t>미래에셋증권</t>
        </is>
      </c>
      <c r="E12" s="10" t="inlineStr">
        <is>
          <t>310970</t>
        </is>
      </c>
      <c r="F12" s="10" t="inlineStr">
        <is>
          <t>KODEX 미국S&amp;P500TR</t>
        </is>
      </c>
      <c r="G12" s="12" t="n">
        <v>0.15</v>
      </c>
    </row>
    <row r="13">
      <c r="A13" s="10" t="inlineStr">
        <is>
          <t>B1</t>
        </is>
      </c>
      <c r="B13" s="10" t="inlineStr">
        <is>
          <t>IRP</t>
        </is>
      </c>
      <c r="C13" s="10" t="inlineStr">
        <is>
          <t>IRP-2(한국투자)</t>
        </is>
      </c>
      <c r="D13" s="10" t="inlineStr">
        <is>
          <t>한국투자증권</t>
        </is>
      </c>
      <c r="E13" s="10" t="inlineStr">
        <is>
          <t>360750</t>
        </is>
      </c>
      <c r="F13" s="10" t="inlineStr">
        <is>
          <t>TIGER 미국나스닥100</t>
        </is>
      </c>
      <c r="G13" s="12" t="n">
        <v>0.3</v>
      </c>
    </row>
    <row r="14">
      <c r="A14" s="10" t="inlineStr">
        <is>
          <t>B1</t>
        </is>
      </c>
      <c r="B14" s="10" t="inlineStr">
        <is>
          <t>IRP</t>
        </is>
      </c>
      <c r="C14" s="10" t="inlineStr">
        <is>
          <t>IRP-2(한국투자)</t>
        </is>
      </c>
      <c r="D14" s="10" t="inlineStr">
        <is>
          <t>한국투자증권</t>
        </is>
      </c>
      <c r="E14" s="10" t="inlineStr">
        <is>
          <t>379800</t>
        </is>
      </c>
      <c r="F14" s="10" t="inlineStr">
        <is>
          <t>KODEX 미국S&amp;P500</t>
        </is>
      </c>
      <c r="G14" s="12" t="n">
        <v>0.3</v>
      </c>
    </row>
    <row r="15">
      <c r="A15" s="10" t="inlineStr">
        <is>
          <t>B1</t>
        </is>
      </c>
      <c r="B15" s="10" t="inlineStr">
        <is>
          <t>IRP</t>
        </is>
      </c>
      <c r="C15" s="10" t="inlineStr">
        <is>
          <t>IRP-2(한국투자)</t>
        </is>
      </c>
      <c r="D15" s="10" t="inlineStr">
        <is>
          <t>한국투자증권</t>
        </is>
      </c>
      <c r="E15" s="10" t="inlineStr">
        <is>
          <t>114260</t>
        </is>
      </c>
      <c r="F15" s="10" t="inlineStr">
        <is>
          <t>KODEX 국고채3년</t>
        </is>
      </c>
      <c r="G15" s="12" t="n">
        <v>0.25</v>
      </c>
    </row>
    <row r="16">
      <c r="A16" s="10" t="inlineStr">
        <is>
          <t>B1</t>
        </is>
      </c>
      <c r="B16" s="10" t="inlineStr">
        <is>
          <t>IRP</t>
        </is>
      </c>
      <c r="C16" s="10" t="inlineStr">
        <is>
          <t>IRP-2(한국투자)</t>
        </is>
      </c>
      <c r="D16" s="10" t="inlineStr">
        <is>
          <t>한국투자증권</t>
        </is>
      </c>
      <c r="E16" s="10" t="inlineStr">
        <is>
          <t>132030</t>
        </is>
      </c>
      <c r="F16" s="10" t="inlineStr">
        <is>
          <t>KODEX 골드선물(H)</t>
        </is>
      </c>
      <c r="G16" s="12" t="n">
        <v>0.15</v>
      </c>
    </row>
    <row r="17">
      <c r="A17" s="10" t="inlineStr">
        <is>
          <t>B2</t>
        </is>
      </c>
      <c r="B17" s="10" t="inlineStr">
        <is>
          <t>연금저축</t>
        </is>
      </c>
      <c r="C17" s="10" t="inlineStr">
        <is>
          <t>연금저축-2(한국투자)</t>
        </is>
      </c>
      <c r="D17" s="10" t="inlineStr">
        <is>
          <t>한국투자증권</t>
        </is>
      </c>
      <c r="E17" s="10" t="inlineStr">
        <is>
          <t>069500</t>
        </is>
      </c>
      <c r="F17" s="10" t="inlineStr">
        <is>
          <t>KODEX 200</t>
        </is>
      </c>
      <c r="G17" s="12" t="n">
        <v>0.35</v>
      </c>
    </row>
    <row r="18">
      <c r="A18" s="10" t="inlineStr">
        <is>
          <t>B2</t>
        </is>
      </c>
      <c r="B18" s="10" t="inlineStr">
        <is>
          <t>연금저축</t>
        </is>
      </c>
      <c r="C18" s="10" t="inlineStr">
        <is>
          <t>연금저축-2(한국투자)</t>
        </is>
      </c>
      <c r="D18" s="10" t="inlineStr">
        <is>
          <t>한국투자증권</t>
        </is>
      </c>
      <c r="E18" s="10" t="inlineStr">
        <is>
          <t>360750</t>
        </is>
      </c>
      <c r="F18" s="10" t="inlineStr">
        <is>
          <t>TIGER 미국나스닥100</t>
        </is>
      </c>
      <c r="G18" s="12" t="n">
        <v>0.25</v>
      </c>
    </row>
    <row r="19">
      <c r="A19" s="10" t="inlineStr">
        <is>
          <t>B2</t>
        </is>
      </c>
      <c r="B19" s="10" t="inlineStr">
        <is>
          <t>연금저축</t>
        </is>
      </c>
      <c r="C19" s="10" t="inlineStr">
        <is>
          <t>연금저축-2(한국투자)</t>
        </is>
      </c>
      <c r="D19" s="10" t="inlineStr">
        <is>
          <t>한국투자증권</t>
        </is>
      </c>
      <c r="E19" s="10" t="inlineStr">
        <is>
          <t>148070</t>
        </is>
      </c>
      <c r="F19" s="10" t="inlineStr">
        <is>
          <t>KOSEF 국고채10년</t>
        </is>
      </c>
      <c r="G19" s="12" t="n">
        <v>0.25</v>
      </c>
    </row>
    <row r="20">
      <c r="A20" s="10" t="inlineStr">
        <is>
          <t>B2</t>
        </is>
      </c>
      <c r="B20" s="10" t="inlineStr">
        <is>
          <t>연금저축</t>
        </is>
      </c>
      <c r="C20" s="10" t="inlineStr">
        <is>
          <t>연금저축-2(한국투자)</t>
        </is>
      </c>
      <c r="D20" s="10" t="inlineStr">
        <is>
          <t>한국투자증권</t>
        </is>
      </c>
      <c r="E20" s="10" t="inlineStr">
        <is>
          <t>130680</t>
        </is>
      </c>
      <c r="F20" s="10" t="inlineStr">
        <is>
          <t>TIGER 골드선물(H)</t>
        </is>
      </c>
      <c r="G20" s="12" t="n">
        <v>0.15</v>
      </c>
    </row>
    <row r="21">
      <c r="H21" s="9" t="inlineStr">
        <is>
          <t>계좌ID</t>
        </is>
      </c>
      <c r="I21" s="9" t="inlineStr">
        <is>
          <t>목표비중합계</t>
        </is>
      </c>
    </row>
    <row r="22">
      <c r="C22" s="15" t="inlineStr">
        <is>
          <t>계좌별 목표비중 합계 검증 (100%가 아니면 빨간색)</t>
        </is>
      </c>
      <c r="H22" t="inlineStr">
        <is>
          <t>A1</t>
        </is>
      </c>
      <c r="I22" s="16">
        <f>SUMIF($A$5:$A$20,H22,$G$5:$G$20)</f>
        <v/>
      </c>
    </row>
    <row r="23">
      <c r="H23" t="inlineStr">
        <is>
          <t>A2</t>
        </is>
      </c>
      <c r="I23" s="16">
        <f>SUMIF($A$5:$A$20,H23,$G$5:$G$20)</f>
        <v/>
      </c>
    </row>
    <row r="24">
      <c r="H24" t="inlineStr">
        <is>
          <t>B1</t>
        </is>
      </c>
      <c r="I24" s="16">
        <f>SUMIF($A$5:$A$20,H24,$G$5:$G$20)</f>
        <v/>
      </c>
    </row>
    <row r="25">
      <c r="H25" t="inlineStr">
        <is>
          <t>B2</t>
        </is>
      </c>
      <c r="I25" s="16">
        <f>SUMIF($A$5:$A$20,H25,$G$5:$G$20)</f>
        <v/>
      </c>
    </row>
  </sheetData>
  <conditionalFormatting sqref="I22:I25">
    <cfRule type="cellIs" priority="1" operator="notEqual" dxfId="0">
      <formula>1</formula>
    </cfRule>
  </conditionalFormatting>
  <dataValidations count="1">
    <dataValidation sqref="B5:B40" showDropDown="0" showInputMessage="0" showErrorMessage="0" allowBlank="1" type="list">
      <formula1>"IRP,연금저축,ISA,일반계좌"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14" customWidth="1" min="4" max="4"/>
  </cols>
  <sheetData>
    <row r="1">
      <c r="A1" s="13" t="inlineStr">
        <is>
          <t>상장 ETF 전체 목록 (참고용)</t>
        </is>
      </c>
    </row>
    <row r="2">
      <c r="A2" s="17" t="inlineStr">
        <is>
          <t>종목 추가 시 여기서 이름으로 찾아 티커를 계좌설정에 복사하세요. scripts/refresh_etf_list.py 를 실행하면 최신 상장 목록으로 자동 갱신됩니다 (수동 편집 불필요).</t>
        </is>
      </c>
    </row>
    <row r="3">
      <c r="A3" s="14" t="inlineStr">
        <is>
          <t>기준일: (refresh_etf_list.py 실행 전에는 비어있음)</t>
        </is>
      </c>
    </row>
    <row r="5">
      <c r="A5" s="9" t="inlineStr">
        <is>
          <t>티커</t>
        </is>
      </c>
      <c r="B5" s="9" t="inlineStr">
        <is>
          <t>ETF명</t>
        </is>
      </c>
      <c r="C5" s="9" t="inlineStr">
        <is>
          <t>기초지수</t>
        </is>
      </c>
      <c r="D5" s="9" t="inlineStr">
        <is>
          <t>최근종가</t>
        </is>
      </c>
    </row>
    <row r="6">
      <c r="D6" s="18" t="n"/>
    </row>
    <row r="7">
      <c r="D7" s="18" t="n"/>
    </row>
    <row r="8">
      <c r="D8" s="18" t="n"/>
    </row>
    <row r="9">
      <c r="D9" s="18" t="n"/>
    </row>
    <row r="10">
      <c r="D10" s="18" t="n"/>
    </row>
    <row r="11">
      <c r="D11" s="18" t="n"/>
    </row>
    <row r="12">
      <c r="D12" s="18" t="n"/>
    </row>
    <row r="13">
      <c r="D13" s="18" t="n"/>
    </row>
    <row r="14">
      <c r="D14" s="18" t="n"/>
    </row>
    <row r="15">
      <c r="D15" s="18" t="n"/>
    </row>
    <row r="16">
      <c r="D16" s="18" t="n"/>
    </row>
    <row r="17">
      <c r="D17" s="18" t="n"/>
    </row>
    <row r="18">
      <c r="D18" s="18" t="n"/>
    </row>
    <row r="19">
      <c r="D19" s="18" t="n"/>
    </row>
    <row r="20">
      <c r="D20" s="18" t="n"/>
    </row>
    <row r="21">
      <c r="D21" s="18" t="n"/>
    </row>
    <row r="22">
      <c r="D22" s="18" t="n"/>
    </row>
    <row r="23">
      <c r="D23" s="18" t="n"/>
    </row>
    <row r="24">
      <c r="D24" s="18" t="n"/>
    </row>
    <row r="25">
      <c r="D25" s="18" t="n"/>
    </row>
    <row r="26">
      <c r="D26" s="18" t="n"/>
    </row>
    <row r="27">
      <c r="D27" s="18" t="n"/>
    </row>
    <row r="28">
      <c r="D28" s="18" t="n"/>
    </row>
    <row r="29">
      <c r="D29" s="18" t="n"/>
    </row>
    <row r="30">
      <c r="D30" s="18" t="n"/>
    </row>
    <row r="31">
      <c r="D31" s="18" t="n"/>
    </row>
    <row r="32">
      <c r="D32" s="18" t="n"/>
    </row>
    <row r="33">
      <c r="D33" s="18" t="n"/>
    </row>
    <row r="34">
      <c r="D34" s="18" t="n"/>
    </row>
    <row r="35">
      <c r="D35" s="18" t="n"/>
    </row>
    <row r="36">
      <c r="D36" s="18" t="n"/>
    </row>
    <row r="37">
      <c r="D37" s="18" t="n"/>
    </row>
    <row r="38">
      <c r="D38" s="18" t="n"/>
    </row>
    <row r="39">
      <c r="D39" s="18" t="n"/>
    </row>
    <row r="40">
      <c r="D40" s="18" t="n"/>
    </row>
    <row r="41">
      <c r="D41" s="18" t="n"/>
    </row>
    <row r="42">
      <c r="D42" s="18" t="n"/>
    </row>
    <row r="43">
      <c r="D43" s="18" t="n"/>
    </row>
    <row r="44">
      <c r="D44" s="18" t="n"/>
    </row>
    <row r="45">
      <c r="D45" s="18" t="n"/>
    </row>
    <row r="46">
      <c r="D46" s="18" t="n"/>
    </row>
    <row r="47">
      <c r="D47" s="18" t="n"/>
    </row>
    <row r="48">
      <c r="D48" s="18" t="n"/>
    </row>
    <row r="49">
      <c r="D49" s="18" t="n"/>
    </row>
    <row r="50">
      <c r="D50" s="18" t="n"/>
    </row>
    <row r="51">
      <c r="D51" s="18" t="n"/>
    </row>
    <row r="52">
      <c r="D52" s="18" t="n"/>
    </row>
    <row r="53">
      <c r="D53" s="18" t="n"/>
    </row>
    <row r="54">
      <c r="D54" s="18" t="n"/>
    </row>
    <row r="55">
      <c r="D55" s="18" t="n"/>
    </row>
    <row r="56">
      <c r="D56" s="18" t="n"/>
    </row>
    <row r="57">
      <c r="D57" s="18" t="n"/>
    </row>
    <row r="58">
      <c r="D58" s="18" t="n"/>
    </row>
    <row r="59">
      <c r="D59" s="18" t="n"/>
    </row>
    <row r="60">
      <c r="D60" s="18" t="n"/>
    </row>
    <row r="61">
      <c r="D61" s="18" t="n"/>
    </row>
    <row r="62">
      <c r="D62" s="18" t="n"/>
    </row>
    <row r="63">
      <c r="D63" s="18" t="n"/>
    </row>
    <row r="64">
      <c r="D64" s="18" t="n"/>
    </row>
    <row r="65">
      <c r="D65" s="18" t="n"/>
    </row>
    <row r="66">
      <c r="D66" s="18" t="n"/>
    </row>
    <row r="67">
      <c r="D67" s="18" t="n"/>
    </row>
    <row r="68">
      <c r="D68" s="18" t="n"/>
    </row>
    <row r="69">
      <c r="D69" s="18" t="n"/>
    </row>
    <row r="70">
      <c r="D70" s="18" t="n"/>
    </row>
    <row r="71">
      <c r="D71" s="18" t="n"/>
    </row>
    <row r="72">
      <c r="D72" s="18" t="n"/>
    </row>
    <row r="73">
      <c r="D73" s="18" t="n"/>
    </row>
    <row r="74">
      <c r="D74" s="18" t="n"/>
    </row>
    <row r="75">
      <c r="D75" s="18" t="n"/>
    </row>
    <row r="76">
      <c r="D76" s="18" t="n"/>
    </row>
    <row r="77">
      <c r="D77" s="18" t="n"/>
    </row>
    <row r="78">
      <c r="D78" s="18" t="n"/>
    </row>
    <row r="79">
      <c r="D79" s="18" t="n"/>
    </row>
    <row r="80">
      <c r="D80" s="18" t="n"/>
    </row>
    <row r="81">
      <c r="D81" s="18" t="n"/>
    </row>
    <row r="82">
      <c r="D82" s="18" t="n"/>
    </row>
    <row r="83">
      <c r="D83" s="18" t="n"/>
    </row>
    <row r="84">
      <c r="D84" s="18" t="n"/>
    </row>
    <row r="85">
      <c r="D85" s="18" t="n"/>
    </row>
    <row r="86">
      <c r="D86" s="18" t="n"/>
    </row>
    <row r="87">
      <c r="D87" s="18" t="n"/>
    </row>
    <row r="88">
      <c r="D88" s="18" t="n"/>
    </row>
    <row r="89">
      <c r="D89" s="18" t="n"/>
    </row>
    <row r="90">
      <c r="D90" s="18" t="n"/>
    </row>
    <row r="91">
      <c r="D91" s="18" t="n"/>
    </row>
    <row r="92">
      <c r="D92" s="18" t="n"/>
    </row>
    <row r="93">
      <c r="D93" s="18" t="n"/>
    </row>
    <row r="94">
      <c r="D94" s="18" t="n"/>
    </row>
    <row r="95">
      <c r="D95" s="18" t="n"/>
    </row>
    <row r="96">
      <c r="D96" s="18" t="n"/>
    </row>
    <row r="97">
      <c r="D97" s="18" t="n"/>
    </row>
    <row r="98">
      <c r="D98" s="18" t="n"/>
    </row>
    <row r="99">
      <c r="D99" s="18" t="n"/>
    </row>
    <row r="100">
      <c r="D100" s="18" t="n"/>
    </row>
    <row r="101">
      <c r="D101" s="18" t="n"/>
    </row>
    <row r="102">
      <c r="D102" s="18" t="n"/>
    </row>
    <row r="103">
      <c r="D103" s="18" t="n"/>
    </row>
    <row r="104">
      <c r="D104" s="18" t="n"/>
    </row>
    <row r="105">
      <c r="D105" s="18" t="n"/>
    </row>
    <row r="106">
      <c r="D106" s="18" t="n"/>
    </row>
    <row r="107">
      <c r="D107" s="18" t="n"/>
    </row>
    <row r="108">
      <c r="D108" s="18" t="n"/>
    </row>
    <row r="109">
      <c r="D109" s="18" t="n"/>
    </row>
    <row r="110">
      <c r="D110" s="18" t="n"/>
    </row>
    <row r="111">
      <c r="D111" s="18" t="n"/>
    </row>
    <row r="112">
      <c r="D112" s="18" t="n"/>
    </row>
    <row r="113">
      <c r="D113" s="18" t="n"/>
    </row>
    <row r="114">
      <c r="D114" s="18" t="n"/>
    </row>
    <row r="115">
      <c r="D115" s="18" t="n"/>
    </row>
    <row r="116">
      <c r="D116" s="18" t="n"/>
    </row>
    <row r="117">
      <c r="D117" s="18" t="n"/>
    </row>
    <row r="118">
      <c r="D118" s="18" t="n"/>
    </row>
    <row r="119">
      <c r="D119" s="18" t="n"/>
    </row>
    <row r="120">
      <c r="D120" s="18" t="n"/>
    </row>
    <row r="121">
      <c r="D121" s="18" t="n"/>
    </row>
    <row r="122">
      <c r="D122" s="18" t="n"/>
    </row>
    <row r="123">
      <c r="D123" s="18" t="n"/>
    </row>
    <row r="124">
      <c r="D124" s="18" t="n"/>
    </row>
    <row r="125">
      <c r="D125" s="18" t="n"/>
    </row>
    <row r="126">
      <c r="D126" s="18" t="n"/>
    </row>
    <row r="127">
      <c r="D127" s="18" t="n"/>
    </row>
    <row r="128">
      <c r="D128" s="18" t="n"/>
    </row>
    <row r="129">
      <c r="D129" s="18" t="n"/>
    </row>
    <row r="130">
      <c r="D130" s="18" t="n"/>
    </row>
    <row r="131">
      <c r="D131" s="18" t="n"/>
    </row>
    <row r="132">
      <c r="D132" s="18" t="n"/>
    </row>
    <row r="133">
      <c r="D133" s="18" t="n"/>
    </row>
    <row r="134">
      <c r="D134" s="18" t="n"/>
    </row>
    <row r="135">
      <c r="D135" s="18" t="n"/>
    </row>
    <row r="136">
      <c r="D136" s="18" t="n"/>
    </row>
    <row r="137">
      <c r="D137" s="18" t="n"/>
    </row>
    <row r="138">
      <c r="D138" s="18" t="n"/>
    </row>
    <row r="139">
      <c r="D139" s="18" t="n"/>
    </row>
    <row r="140">
      <c r="D140" s="18" t="n"/>
    </row>
    <row r="141">
      <c r="D141" s="18" t="n"/>
    </row>
    <row r="142">
      <c r="D142" s="18" t="n"/>
    </row>
    <row r="143">
      <c r="D143" s="18" t="n"/>
    </row>
    <row r="144">
      <c r="D144" s="18" t="n"/>
    </row>
    <row r="145">
      <c r="D145" s="18" t="n"/>
    </row>
    <row r="146">
      <c r="D146" s="18" t="n"/>
    </row>
    <row r="147">
      <c r="D147" s="18" t="n"/>
    </row>
    <row r="148">
      <c r="D148" s="18" t="n"/>
    </row>
    <row r="149">
      <c r="D149" s="18" t="n"/>
    </row>
    <row r="150">
      <c r="D150" s="18" t="n"/>
    </row>
    <row r="151">
      <c r="D151" s="18" t="n"/>
    </row>
    <row r="152">
      <c r="D152" s="18" t="n"/>
    </row>
    <row r="153">
      <c r="D153" s="18" t="n"/>
    </row>
    <row r="154">
      <c r="D154" s="18" t="n"/>
    </row>
    <row r="155">
      <c r="D155" s="18" t="n"/>
    </row>
    <row r="156">
      <c r="D156" s="18" t="n"/>
    </row>
    <row r="157">
      <c r="D157" s="18" t="n"/>
    </row>
    <row r="158">
      <c r="D158" s="18" t="n"/>
    </row>
    <row r="159">
      <c r="D159" s="18" t="n"/>
    </row>
    <row r="160">
      <c r="D160" s="18" t="n"/>
    </row>
    <row r="161">
      <c r="D161" s="18" t="n"/>
    </row>
    <row r="162">
      <c r="D162" s="18" t="n"/>
    </row>
    <row r="163">
      <c r="D163" s="18" t="n"/>
    </row>
    <row r="164">
      <c r="D164" s="18" t="n"/>
    </row>
    <row r="165">
      <c r="D165" s="18" t="n"/>
    </row>
    <row r="166">
      <c r="D166" s="18" t="n"/>
    </row>
    <row r="167">
      <c r="D167" s="18" t="n"/>
    </row>
    <row r="168">
      <c r="D168" s="18" t="n"/>
    </row>
    <row r="169">
      <c r="D169" s="18" t="n"/>
    </row>
    <row r="170">
      <c r="D170" s="18" t="n"/>
    </row>
    <row r="171">
      <c r="D171" s="18" t="n"/>
    </row>
    <row r="172">
      <c r="D172" s="18" t="n"/>
    </row>
    <row r="173">
      <c r="D173" s="18" t="n"/>
    </row>
    <row r="174">
      <c r="D174" s="18" t="n"/>
    </row>
    <row r="175">
      <c r="D175" s="18" t="n"/>
    </row>
    <row r="176">
      <c r="D176" s="18" t="n"/>
    </row>
    <row r="177">
      <c r="D177" s="18" t="n"/>
    </row>
    <row r="178">
      <c r="D178" s="18" t="n"/>
    </row>
    <row r="179">
      <c r="D179" s="18" t="n"/>
    </row>
    <row r="180">
      <c r="D180" s="18" t="n"/>
    </row>
    <row r="181">
      <c r="D181" s="18" t="n"/>
    </row>
    <row r="182">
      <c r="D182" s="18" t="n"/>
    </row>
    <row r="183">
      <c r="D183" s="18" t="n"/>
    </row>
    <row r="184">
      <c r="D184" s="18" t="n"/>
    </row>
    <row r="185">
      <c r="D185" s="18" t="n"/>
    </row>
    <row r="186">
      <c r="D186" s="18" t="n"/>
    </row>
    <row r="187">
      <c r="D187" s="18" t="n"/>
    </row>
    <row r="188">
      <c r="D188" s="18" t="n"/>
    </row>
    <row r="189">
      <c r="D189" s="18" t="n"/>
    </row>
    <row r="190">
      <c r="D190" s="18" t="n"/>
    </row>
    <row r="191">
      <c r="D191" s="18" t="n"/>
    </row>
    <row r="192">
      <c r="D192" s="18" t="n"/>
    </row>
    <row r="193">
      <c r="D193" s="18" t="n"/>
    </row>
    <row r="194">
      <c r="D194" s="18" t="n"/>
    </row>
    <row r="195">
      <c r="D195" s="18" t="n"/>
    </row>
    <row r="196">
      <c r="D196" s="18" t="n"/>
    </row>
    <row r="197">
      <c r="D197" s="18" t="n"/>
    </row>
    <row r="198">
      <c r="D198" s="18" t="n"/>
    </row>
    <row r="199">
      <c r="D199" s="18" t="n"/>
    </row>
    <row r="200">
      <c r="D200" s="18" t="n"/>
    </row>
    <row r="201">
      <c r="D201" s="18" t="n"/>
    </row>
    <row r="202">
      <c r="D202" s="18" t="n"/>
    </row>
    <row r="203">
      <c r="D203" s="18" t="n"/>
    </row>
    <row r="204">
      <c r="D204" s="18" t="n"/>
    </row>
    <row r="205">
      <c r="D205" s="18" t="n"/>
    </row>
    <row r="206">
      <c r="D206" s="18" t="n"/>
    </row>
    <row r="207">
      <c r="D207" s="18" t="n"/>
    </row>
    <row r="208">
      <c r="D208" s="18" t="n"/>
    </row>
    <row r="209">
      <c r="D209" s="18" t="n"/>
    </row>
    <row r="210">
      <c r="D210" s="18" t="n"/>
    </row>
    <row r="211">
      <c r="D211" s="18" t="n"/>
    </row>
    <row r="212">
      <c r="D212" s="18" t="n"/>
    </row>
    <row r="213">
      <c r="D213" s="18" t="n"/>
    </row>
    <row r="214">
      <c r="D214" s="18" t="n"/>
    </row>
    <row r="215">
      <c r="D215" s="18" t="n"/>
    </row>
    <row r="216">
      <c r="D216" s="18" t="n"/>
    </row>
    <row r="217">
      <c r="D217" s="18" t="n"/>
    </row>
    <row r="218">
      <c r="D218" s="18" t="n"/>
    </row>
    <row r="219">
      <c r="D219" s="18" t="n"/>
    </row>
    <row r="220">
      <c r="D220" s="18" t="n"/>
    </row>
    <row r="221">
      <c r="D221" s="18" t="n"/>
    </row>
    <row r="222">
      <c r="D222" s="18" t="n"/>
    </row>
    <row r="223">
      <c r="D223" s="18" t="n"/>
    </row>
    <row r="224">
      <c r="D224" s="18" t="n"/>
    </row>
    <row r="225">
      <c r="D225" s="18" t="n"/>
    </row>
    <row r="226">
      <c r="D226" s="18" t="n"/>
    </row>
    <row r="227">
      <c r="D227" s="18" t="n"/>
    </row>
    <row r="228">
      <c r="D228" s="18" t="n"/>
    </row>
    <row r="229">
      <c r="D229" s="18" t="n"/>
    </row>
    <row r="230">
      <c r="D230" s="18" t="n"/>
    </row>
    <row r="231">
      <c r="D231" s="18" t="n"/>
    </row>
    <row r="232">
      <c r="D232" s="18" t="n"/>
    </row>
    <row r="233">
      <c r="D233" s="18" t="n"/>
    </row>
    <row r="234">
      <c r="D234" s="18" t="n"/>
    </row>
    <row r="235">
      <c r="D235" s="18" t="n"/>
    </row>
    <row r="236">
      <c r="D236" s="18" t="n"/>
    </row>
    <row r="237">
      <c r="D237" s="18" t="n"/>
    </row>
    <row r="238">
      <c r="D238" s="18" t="n"/>
    </row>
    <row r="239">
      <c r="D239" s="18" t="n"/>
    </row>
    <row r="240">
      <c r="D240" s="18" t="n"/>
    </row>
    <row r="241">
      <c r="D241" s="18" t="n"/>
    </row>
    <row r="242">
      <c r="D242" s="18" t="n"/>
    </row>
    <row r="243">
      <c r="D243" s="18" t="n"/>
    </row>
    <row r="244">
      <c r="D244" s="18" t="n"/>
    </row>
    <row r="245">
      <c r="D245" s="18" t="n"/>
    </row>
    <row r="246">
      <c r="D246" s="18" t="n"/>
    </row>
    <row r="247">
      <c r="D247" s="18" t="n"/>
    </row>
    <row r="248">
      <c r="D248" s="18" t="n"/>
    </row>
    <row r="249">
      <c r="D249" s="18" t="n"/>
    </row>
    <row r="250">
      <c r="D250" s="18" t="n"/>
    </row>
    <row r="251">
      <c r="D251" s="18" t="n"/>
    </row>
    <row r="252">
      <c r="D252" s="18" t="n"/>
    </row>
    <row r="253">
      <c r="D253" s="18" t="n"/>
    </row>
    <row r="254">
      <c r="D254" s="18" t="n"/>
    </row>
    <row r="255">
      <c r="D255" s="18" t="n"/>
    </row>
    <row r="256">
      <c r="D256" s="18" t="n"/>
    </row>
    <row r="257">
      <c r="D257" s="18" t="n"/>
    </row>
    <row r="258">
      <c r="D258" s="18" t="n"/>
    </row>
    <row r="259">
      <c r="D259" s="18" t="n"/>
    </row>
    <row r="260">
      <c r="D260" s="18" t="n"/>
    </row>
    <row r="261">
      <c r="D261" s="18" t="n"/>
    </row>
    <row r="262">
      <c r="D262" s="18" t="n"/>
    </row>
    <row r="263">
      <c r="D263" s="18" t="n"/>
    </row>
    <row r="264">
      <c r="D264" s="18" t="n"/>
    </row>
    <row r="265">
      <c r="D265" s="18" t="n"/>
    </row>
    <row r="266">
      <c r="D266" s="18" t="n"/>
    </row>
    <row r="267">
      <c r="D267" s="18" t="n"/>
    </row>
    <row r="268">
      <c r="D268" s="18" t="n"/>
    </row>
    <row r="269">
      <c r="D269" s="18" t="n"/>
    </row>
    <row r="270">
      <c r="D270" s="18" t="n"/>
    </row>
    <row r="271">
      <c r="D271" s="18" t="n"/>
    </row>
    <row r="272">
      <c r="D272" s="18" t="n"/>
    </row>
    <row r="273">
      <c r="D273" s="18" t="n"/>
    </row>
    <row r="274">
      <c r="D274" s="18" t="n"/>
    </row>
    <row r="275">
      <c r="D275" s="18" t="n"/>
    </row>
    <row r="276">
      <c r="D276" s="18" t="n"/>
    </row>
    <row r="277">
      <c r="D277" s="18" t="n"/>
    </row>
    <row r="278">
      <c r="D278" s="18" t="n"/>
    </row>
    <row r="279">
      <c r="D279" s="18" t="n"/>
    </row>
    <row r="280">
      <c r="D280" s="18" t="n"/>
    </row>
    <row r="281">
      <c r="D281" s="18" t="n"/>
    </row>
    <row r="282">
      <c r="D282" s="18" t="n"/>
    </row>
    <row r="283">
      <c r="D283" s="18" t="n"/>
    </row>
    <row r="284">
      <c r="D284" s="18" t="n"/>
    </row>
    <row r="285">
      <c r="D285" s="18" t="n"/>
    </row>
    <row r="286">
      <c r="D286" s="18" t="n"/>
    </row>
    <row r="287">
      <c r="D287" s="18" t="n"/>
    </row>
    <row r="288">
      <c r="D288" s="18" t="n"/>
    </row>
    <row r="289">
      <c r="D289" s="18" t="n"/>
    </row>
    <row r="290">
      <c r="D290" s="18" t="n"/>
    </row>
    <row r="291">
      <c r="D291" s="18" t="n"/>
    </row>
    <row r="292">
      <c r="D292" s="18" t="n"/>
    </row>
    <row r="293">
      <c r="D293" s="18" t="n"/>
    </row>
    <row r="294">
      <c r="D294" s="18" t="n"/>
    </row>
    <row r="295">
      <c r="D295" s="18" t="n"/>
    </row>
    <row r="296">
      <c r="D296" s="18" t="n"/>
    </row>
    <row r="297">
      <c r="D297" s="18" t="n"/>
    </row>
    <row r="298">
      <c r="D298" s="18" t="n"/>
    </row>
    <row r="299">
      <c r="D299" s="18" t="n"/>
    </row>
    <row r="300">
      <c r="D300" s="18" t="n"/>
    </row>
    <row r="301">
      <c r="D301" s="18" t="n"/>
    </row>
    <row r="302">
      <c r="D302" s="18" t="n"/>
    </row>
    <row r="303">
      <c r="D303" s="18" t="n"/>
    </row>
    <row r="304">
      <c r="D304" s="18" t="n"/>
    </row>
    <row r="305">
      <c r="D305" s="18" t="n"/>
    </row>
    <row r="306">
      <c r="D306" s="18" t="n"/>
    </row>
    <row r="307">
      <c r="D307" s="18" t="n"/>
    </row>
    <row r="308">
      <c r="D308" s="18" t="n"/>
    </row>
    <row r="309">
      <c r="D309" s="18" t="n"/>
    </row>
    <row r="310">
      <c r="D310" s="18" t="n"/>
    </row>
    <row r="311">
      <c r="D311" s="18" t="n"/>
    </row>
    <row r="312">
      <c r="D312" s="18" t="n"/>
    </row>
    <row r="313">
      <c r="D313" s="18" t="n"/>
    </row>
    <row r="314">
      <c r="D314" s="18" t="n"/>
    </row>
    <row r="315">
      <c r="D315" s="18" t="n"/>
    </row>
    <row r="316">
      <c r="D316" s="18" t="n"/>
    </row>
    <row r="317">
      <c r="D317" s="18" t="n"/>
    </row>
    <row r="318">
      <c r="D318" s="18" t="n"/>
    </row>
    <row r="319">
      <c r="D319" s="18" t="n"/>
    </row>
    <row r="320">
      <c r="D320" s="18" t="n"/>
    </row>
    <row r="321">
      <c r="D321" s="18" t="n"/>
    </row>
    <row r="322">
      <c r="D322" s="18" t="n"/>
    </row>
    <row r="323">
      <c r="D323" s="18" t="n"/>
    </row>
    <row r="324">
      <c r="D324" s="18" t="n"/>
    </row>
    <row r="325">
      <c r="D325" s="18" t="n"/>
    </row>
    <row r="326">
      <c r="D326" s="18" t="n"/>
    </row>
    <row r="327">
      <c r="D327" s="18" t="n"/>
    </row>
    <row r="328">
      <c r="D328" s="18" t="n"/>
    </row>
    <row r="329">
      <c r="D329" s="18" t="n"/>
    </row>
    <row r="330">
      <c r="D330" s="18" t="n"/>
    </row>
    <row r="331">
      <c r="D331" s="18" t="n"/>
    </row>
    <row r="332">
      <c r="D332" s="18" t="n"/>
    </row>
    <row r="333">
      <c r="D333" s="18" t="n"/>
    </row>
    <row r="334">
      <c r="D334" s="18" t="n"/>
    </row>
    <row r="335">
      <c r="D335" s="18" t="n"/>
    </row>
    <row r="336">
      <c r="D336" s="18" t="n"/>
    </row>
    <row r="337">
      <c r="D337" s="18" t="n"/>
    </row>
    <row r="338">
      <c r="D338" s="18" t="n"/>
    </row>
    <row r="339">
      <c r="D339" s="18" t="n"/>
    </row>
    <row r="340">
      <c r="D340" s="18" t="n"/>
    </row>
    <row r="341">
      <c r="D341" s="18" t="n"/>
    </row>
    <row r="342">
      <c r="D342" s="18" t="n"/>
    </row>
    <row r="343">
      <c r="D343" s="18" t="n"/>
    </row>
    <row r="344">
      <c r="D344" s="18" t="n"/>
    </row>
    <row r="345">
      <c r="D345" s="18" t="n"/>
    </row>
    <row r="346">
      <c r="D346" s="18" t="n"/>
    </row>
    <row r="347">
      <c r="D347" s="18" t="n"/>
    </row>
    <row r="348">
      <c r="D348" s="18" t="n"/>
    </row>
    <row r="349">
      <c r="D349" s="18" t="n"/>
    </row>
    <row r="350">
      <c r="D350" s="18" t="n"/>
    </row>
    <row r="351">
      <c r="D351" s="18" t="n"/>
    </row>
    <row r="352">
      <c r="D352" s="18" t="n"/>
    </row>
    <row r="353">
      <c r="D353" s="18" t="n"/>
    </row>
    <row r="354">
      <c r="D354" s="18" t="n"/>
    </row>
    <row r="355">
      <c r="D355" s="18" t="n"/>
    </row>
    <row r="356">
      <c r="D356" s="18" t="n"/>
    </row>
    <row r="357">
      <c r="D357" s="18" t="n"/>
    </row>
    <row r="358">
      <c r="D358" s="18" t="n"/>
    </row>
    <row r="359">
      <c r="D359" s="18" t="n"/>
    </row>
    <row r="360">
      <c r="D360" s="18" t="n"/>
    </row>
    <row r="361">
      <c r="D361" s="18" t="n"/>
    </row>
    <row r="362">
      <c r="D362" s="18" t="n"/>
    </row>
    <row r="363">
      <c r="D363" s="18" t="n"/>
    </row>
    <row r="364">
      <c r="D364" s="18" t="n"/>
    </row>
    <row r="365">
      <c r="D365" s="18" t="n"/>
    </row>
    <row r="366">
      <c r="D366" s="18" t="n"/>
    </row>
    <row r="367">
      <c r="D367" s="18" t="n"/>
    </row>
    <row r="368">
      <c r="D368" s="18" t="n"/>
    </row>
    <row r="369">
      <c r="D369" s="18" t="n"/>
    </row>
    <row r="370">
      <c r="D370" s="18" t="n"/>
    </row>
    <row r="371">
      <c r="D371" s="18" t="n"/>
    </row>
    <row r="372">
      <c r="D372" s="18" t="n"/>
    </row>
    <row r="373">
      <c r="D373" s="18" t="n"/>
    </row>
    <row r="374">
      <c r="D374" s="18" t="n"/>
    </row>
    <row r="375">
      <c r="D375" s="18" t="n"/>
    </row>
    <row r="376">
      <c r="D376" s="18" t="n"/>
    </row>
    <row r="377">
      <c r="D377" s="18" t="n"/>
    </row>
    <row r="378">
      <c r="D378" s="18" t="n"/>
    </row>
    <row r="379">
      <c r="D379" s="18" t="n"/>
    </row>
    <row r="380">
      <c r="D380" s="18" t="n"/>
    </row>
    <row r="381">
      <c r="D381" s="18" t="n"/>
    </row>
    <row r="382">
      <c r="D382" s="18" t="n"/>
    </row>
    <row r="383">
      <c r="D383" s="18" t="n"/>
    </row>
    <row r="384">
      <c r="D384" s="18" t="n"/>
    </row>
    <row r="385">
      <c r="D385" s="18" t="n"/>
    </row>
    <row r="386">
      <c r="D386" s="18" t="n"/>
    </row>
    <row r="387">
      <c r="D387" s="18" t="n"/>
    </row>
    <row r="388">
      <c r="D388" s="18" t="n"/>
    </row>
    <row r="389">
      <c r="D389" s="18" t="n"/>
    </row>
    <row r="390">
      <c r="D390" s="18" t="n"/>
    </row>
    <row r="391">
      <c r="D391" s="18" t="n"/>
    </row>
    <row r="392">
      <c r="D392" s="18" t="n"/>
    </row>
    <row r="393">
      <c r="D393" s="18" t="n"/>
    </row>
    <row r="394">
      <c r="D394" s="18" t="n"/>
    </row>
    <row r="395">
      <c r="D395" s="18" t="n"/>
    </row>
    <row r="396">
      <c r="D396" s="18" t="n"/>
    </row>
    <row r="397">
      <c r="D397" s="18" t="n"/>
    </row>
    <row r="398">
      <c r="D398" s="18" t="n"/>
    </row>
    <row r="399">
      <c r="D399" s="18" t="n"/>
    </row>
    <row r="400">
      <c r="D400" s="18" t="n"/>
    </row>
    <row r="401">
      <c r="D401" s="18" t="n"/>
    </row>
    <row r="402">
      <c r="D402" s="18" t="n"/>
    </row>
    <row r="403">
      <c r="D403" s="18" t="n"/>
    </row>
    <row r="404">
      <c r="D404" s="18" t="n"/>
    </row>
    <row r="405">
      <c r="D405" s="18" t="n"/>
    </row>
    <row r="406">
      <c r="D406" s="18" t="n"/>
    </row>
    <row r="407">
      <c r="D407" s="18" t="n"/>
    </row>
    <row r="408">
      <c r="D408" s="18" t="n"/>
    </row>
    <row r="409">
      <c r="D409" s="18" t="n"/>
    </row>
    <row r="410">
      <c r="D410" s="18" t="n"/>
    </row>
    <row r="411">
      <c r="D411" s="18" t="n"/>
    </row>
    <row r="412">
      <c r="D412" s="18" t="n"/>
    </row>
    <row r="413">
      <c r="D413" s="18" t="n"/>
    </row>
    <row r="414">
      <c r="D414" s="18" t="n"/>
    </row>
    <row r="415">
      <c r="D415" s="18" t="n"/>
    </row>
    <row r="416">
      <c r="D416" s="18" t="n"/>
    </row>
    <row r="417">
      <c r="D417" s="18" t="n"/>
    </row>
    <row r="418">
      <c r="D418" s="18" t="n"/>
    </row>
    <row r="419">
      <c r="D419" s="18" t="n"/>
    </row>
    <row r="420">
      <c r="D420" s="18" t="n"/>
    </row>
    <row r="421">
      <c r="D421" s="18" t="n"/>
    </row>
    <row r="422">
      <c r="D422" s="18" t="n"/>
    </row>
    <row r="423">
      <c r="D423" s="18" t="n"/>
    </row>
    <row r="424">
      <c r="D424" s="18" t="n"/>
    </row>
    <row r="425">
      <c r="D425" s="18" t="n"/>
    </row>
    <row r="426">
      <c r="D426" s="18" t="n"/>
    </row>
    <row r="427">
      <c r="D427" s="18" t="n"/>
    </row>
    <row r="428">
      <c r="D428" s="18" t="n"/>
    </row>
    <row r="429">
      <c r="D429" s="18" t="n"/>
    </row>
    <row r="430">
      <c r="D430" s="18" t="n"/>
    </row>
    <row r="431">
      <c r="D431" s="18" t="n"/>
    </row>
    <row r="432">
      <c r="D432" s="18" t="n"/>
    </row>
    <row r="433">
      <c r="D433" s="18" t="n"/>
    </row>
    <row r="434">
      <c r="D434" s="18" t="n"/>
    </row>
    <row r="435">
      <c r="D435" s="18" t="n"/>
    </row>
    <row r="436">
      <c r="D436" s="18" t="n"/>
    </row>
    <row r="437">
      <c r="D437" s="18" t="n"/>
    </row>
    <row r="438">
      <c r="D438" s="18" t="n"/>
    </row>
    <row r="439">
      <c r="D439" s="18" t="n"/>
    </row>
    <row r="440">
      <c r="D440" s="18" t="n"/>
    </row>
    <row r="441">
      <c r="D441" s="18" t="n"/>
    </row>
    <row r="442">
      <c r="D442" s="18" t="n"/>
    </row>
    <row r="443">
      <c r="D443" s="18" t="n"/>
    </row>
    <row r="444">
      <c r="D444" s="18" t="n"/>
    </row>
    <row r="445">
      <c r="D445" s="18" t="n"/>
    </row>
    <row r="446">
      <c r="D446" s="18" t="n"/>
    </row>
    <row r="447">
      <c r="D447" s="18" t="n"/>
    </row>
    <row r="448">
      <c r="D448" s="18" t="n"/>
    </row>
    <row r="449">
      <c r="D449" s="18" t="n"/>
    </row>
    <row r="450">
      <c r="D450" s="18" t="n"/>
    </row>
    <row r="451">
      <c r="D451" s="18" t="n"/>
    </row>
    <row r="452">
      <c r="D452" s="18" t="n"/>
    </row>
    <row r="453">
      <c r="D453" s="18" t="n"/>
    </row>
    <row r="454">
      <c r="D454" s="18" t="n"/>
    </row>
    <row r="455">
      <c r="D455" s="18" t="n"/>
    </row>
    <row r="456">
      <c r="D456" s="18" t="n"/>
    </row>
    <row r="457">
      <c r="D457" s="18" t="n"/>
    </row>
    <row r="458">
      <c r="D458" s="18" t="n"/>
    </row>
    <row r="459">
      <c r="D459" s="18" t="n"/>
    </row>
    <row r="460">
      <c r="D460" s="18" t="n"/>
    </row>
    <row r="461">
      <c r="D461" s="18" t="n"/>
    </row>
    <row r="462">
      <c r="D462" s="18" t="n"/>
    </row>
    <row r="463">
      <c r="D463" s="18" t="n"/>
    </row>
    <row r="464">
      <c r="D464" s="18" t="n"/>
    </row>
    <row r="465">
      <c r="D465" s="18" t="n"/>
    </row>
    <row r="466">
      <c r="D466" s="18" t="n"/>
    </row>
    <row r="467">
      <c r="D467" s="18" t="n"/>
    </row>
    <row r="468">
      <c r="D468" s="18" t="n"/>
    </row>
    <row r="469">
      <c r="D469" s="18" t="n"/>
    </row>
    <row r="470">
      <c r="D470" s="18" t="n"/>
    </row>
    <row r="471">
      <c r="D471" s="18" t="n"/>
    </row>
    <row r="472">
      <c r="D472" s="18" t="n"/>
    </row>
    <row r="473">
      <c r="D473" s="18" t="n"/>
    </row>
    <row r="474">
      <c r="D474" s="18" t="n"/>
    </row>
    <row r="475">
      <c r="D475" s="18" t="n"/>
    </row>
    <row r="476">
      <c r="D476" s="18" t="n"/>
    </row>
    <row r="477">
      <c r="D477" s="18" t="n"/>
    </row>
    <row r="478">
      <c r="D478" s="18" t="n"/>
    </row>
    <row r="479">
      <c r="D479" s="18" t="n"/>
    </row>
    <row r="480">
      <c r="D480" s="18" t="n"/>
    </row>
    <row r="481">
      <c r="D481" s="18" t="n"/>
    </row>
    <row r="482">
      <c r="D482" s="18" t="n"/>
    </row>
    <row r="483">
      <c r="D483" s="18" t="n"/>
    </row>
    <row r="484">
      <c r="D484" s="18" t="n"/>
    </row>
    <row r="485">
      <c r="D485" s="18" t="n"/>
    </row>
    <row r="486">
      <c r="D486" s="18" t="n"/>
    </row>
    <row r="487">
      <c r="D487" s="18" t="n"/>
    </row>
    <row r="488">
      <c r="D488" s="18" t="n"/>
    </row>
    <row r="489">
      <c r="D489" s="18" t="n"/>
    </row>
    <row r="490">
      <c r="D490" s="18" t="n"/>
    </row>
    <row r="491">
      <c r="D491" s="18" t="n"/>
    </row>
    <row r="492">
      <c r="D492" s="18" t="n"/>
    </row>
    <row r="493">
      <c r="D493" s="18" t="n"/>
    </row>
    <row r="494">
      <c r="D494" s="18" t="n"/>
    </row>
    <row r="495">
      <c r="D495" s="18" t="n"/>
    </row>
    <row r="496">
      <c r="D496" s="18" t="n"/>
    </row>
    <row r="497">
      <c r="D497" s="18" t="n"/>
    </row>
    <row r="498">
      <c r="D498" s="18" t="n"/>
    </row>
    <row r="499">
      <c r="D499" s="18" t="n"/>
    </row>
    <row r="500">
      <c r="D500" s="18" t="n"/>
    </row>
    <row r="501">
      <c r="D501" s="18" t="n"/>
    </row>
    <row r="502">
      <c r="D502" s="18" t="n"/>
    </row>
    <row r="503">
      <c r="D503" s="18" t="n"/>
    </row>
    <row r="504">
      <c r="D504" s="18" t="n"/>
    </row>
    <row r="505">
      <c r="D505" s="18" t="n"/>
    </row>
    <row r="506">
      <c r="D506" s="18" t="n"/>
    </row>
    <row r="507">
      <c r="D507" s="18" t="n"/>
    </row>
    <row r="508">
      <c r="D508" s="18" t="n"/>
    </row>
    <row r="509">
      <c r="D509" s="18" t="n"/>
    </row>
    <row r="510">
      <c r="D510" s="18" t="n"/>
    </row>
    <row r="511">
      <c r="D511" s="18" t="n"/>
    </row>
    <row r="512">
      <c r="D512" s="18" t="n"/>
    </row>
    <row r="513">
      <c r="D513" s="18" t="n"/>
    </row>
    <row r="514">
      <c r="D514" s="18" t="n"/>
    </row>
    <row r="515">
      <c r="D515" s="18" t="n"/>
    </row>
    <row r="516">
      <c r="D516" s="18" t="n"/>
    </row>
    <row r="517">
      <c r="D517" s="18" t="n"/>
    </row>
    <row r="518">
      <c r="D518" s="18" t="n"/>
    </row>
    <row r="519">
      <c r="D519" s="18" t="n"/>
    </row>
    <row r="520">
      <c r="D520" s="18" t="n"/>
    </row>
    <row r="521">
      <c r="D521" s="18" t="n"/>
    </row>
    <row r="522">
      <c r="D522" s="18" t="n"/>
    </row>
    <row r="523">
      <c r="D523" s="18" t="n"/>
    </row>
    <row r="524">
      <c r="D524" s="18" t="n"/>
    </row>
    <row r="525">
      <c r="D525" s="18" t="n"/>
    </row>
    <row r="526">
      <c r="D526" s="18" t="n"/>
    </row>
    <row r="527">
      <c r="D527" s="18" t="n"/>
    </row>
    <row r="528">
      <c r="D528" s="18" t="n"/>
    </row>
    <row r="529">
      <c r="D529" s="18" t="n"/>
    </row>
    <row r="530">
      <c r="D530" s="18" t="n"/>
    </row>
    <row r="531">
      <c r="D531" s="18" t="n"/>
    </row>
    <row r="532">
      <c r="D532" s="18" t="n"/>
    </row>
    <row r="533">
      <c r="D533" s="18" t="n"/>
    </row>
    <row r="534">
      <c r="D534" s="18" t="n"/>
    </row>
    <row r="535">
      <c r="D535" s="18" t="n"/>
    </row>
    <row r="536">
      <c r="D536" s="18" t="n"/>
    </row>
    <row r="537">
      <c r="D537" s="18" t="n"/>
    </row>
    <row r="538">
      <c r="D538" s="18" t="n"/>
    </row>
    <row r="539">
      <c r="D539" s="18" t="n"/>
    </row>
    <row r="540">
      <c r="D540" s="18" t="n"/>
    </row>
    <row r="541">
      <c r="D541" s="18" t="n"/>
    </row>
    <row r="542">
      <c r="D542" s="18" t="n"/>
    </row>
    <row r="543">
      <c r="D543" s="18" t="n"/>
    </row>
    <row r="544">
      <c r="D544" s="18" t="n"/>
    </row>
    <row r="545">
      <c r="D545" s="18" t="n"/>
    </row>
    <row r="546">
      <c r="D546" s="18" t="n"/>
    </row>
    <row r="547">
      <c r="D547" s="18" t="n"/>
    </row>
    <row r="548">
      <c r="D548" s="18" t="n"/>
    </row>
    <row r="549">
      <c r="D549" s="18" t="n"/>
    </row>
    <row r="550">
      <c r="D550" s="18" t="n"/>
    </row>
    <row r="551">
      <c r="D551" s="18" t="n"/>
    </row>
    <row r="552">
      <c r="D552" s="18" t="n"/>
    </row>
    <row r="553">
      <c r="D553" s="18" t="n"/>
    </row>
    <row r="554">
      <c r="D554" s="18" t="n"/>
    </row>
    <row r="555">
      <c r="D555" s="18" t="n"/>
    </row>
    <row r="556">
      <c r="D556" s="18" t="n"/>
    </row>
    <row r="557">
      <c r="D557" s="18" t="n"/>
    </row>
    <row r="558">
      <c r="D558" s="18" t="n"/>
    </row>
    <row r="559">
      <c r="D559" s="18" t="n"/>
    </row>
    <row r="560">
      <c r="D560" s="18" t="n"/>
    </row>
    <row r="561">
      <c r="D561" s="18" t="n"/>
    </row>
    <row r="562">
      <c r="D562" s="18" t="n"/>
    </row>
    <row r="563">
      <c r="D563" s="18" t="n"/>
    </row>
    <row r="564">
      <c r="D564" s="18" t="n"/>
    </row>
    <row r="565">
      <c r="D565" s="18" t="n"/>
    </row>
    <row r="566">
      <c r="D566" s="18" t="n"/>
    </row>
    <row r="567">
      <c r="D567" s="18" t="n"/>
    </row>
    <row r="568">
      <c r="D568" s="18" t="n"/>
    </row>
    <row r="569">
      <c r="D569" s="18" t="n"/>
    </row>
    <row r="570">
      <c r="D570" s="18" t="n"/>
    </row>
    <row r="571">
      <c r="D571" s="18" t="n"/>
    </row>
    <row r="572">
      <c r="D572" s="18" t="n"/>
    </row>
    <row r="573">
      <c r="D573" s="18" t="n"/>
    </row>
    <row r="574">
      <c r="D574" s="18" t="n"/>
    </row>
    <row r="575">
      <c r="D575" s="18" t="n"/>
    </row>
    <row r="576">
      <c r="D576" s="18" t="n"/>
    </row>
    <row r="577">
      <c r="D577" s="18" t="n"/>
    </row>
    <row r="578">
      <c r="D578" s="18" t="n"/>
    </row>
    <row r="579">
      <c r="D579" s="18" t="n"/>
    </row>
    <row r="580">
      <c r="D580" s="18" t="n"/>
    </row>
    <row r="581">
      <c r="D581" s="18" t="n"/>
    </row>
    <row r="582">
      <c r="D582" s="18" t="n"/>
    </row>
    <row r="583">
      <c r="D583" s="18" t="n"/>
    </row>
    <row r="584">
      <c r="D584" s="18" t="n"/>
    </row>
    <row r="585">
      <c r="D585" s="18" t="n"/>
    </row>
    <row r="586">
      <c r="D586" s="18" t="n"/>
    </row>
    <row r="587">
      <c r="D587" s="18" t="n"/>
    </row>
    <row r="588">
      <c r="D588" s="18" t="n"/>
    </row>
    <row r="589">
      <c r="D589" s="18" t="n"/>
    </row>
    <row r="590">
      <c r="D590" s="18" t="n"/>
    </row>
    <row r="591">
      <c r="D591" s="18" t="n"/>
    </row>
    <row r="592">
      <c r="D592" s="18" t="n"/>
    </row>
    <row r="593">
      <c r="D593" s="18" t="n"/>
    </row>
    <row r="594">
      <c r="D594" s="18" t="n"/>
    </row>
    <row r="595">
      <c r="D595" s="18" t="n"/>
    </row>
    <row r="596">
      <c r="D596" s="18" t="n"/>
    </row>
    <row r="597">
      <c r="D597" s="18" t="n"/>
    </row>
    <row r="598">
      <c r="D598" s="18" t="n"/>
    </row>
    <row r="599">
      <c r="D599" s="18" t="n"/>
    </row>
    <row r="600">
      <c r="D600" s="18" t="n"/>
    </row>
    <row r="601">
      <c r="D601" s="18" t="n"/>
    </row>
    <row r="602">
      <c r="D602" s="18" t="n"/>
    </row>
    <row r="603">
      <c r="D603" s="18" t="n"/>
    </row>
    <row r="604">
      <c r="D604" s="18" t="n"/>
    </row>
    <row r="605">
      <c r="D605" s="18" t="n"/>
    </row>
    <row r="606">
      <c r="D606" s="18" t="n"/>
    </row>
    <row r="607">
      <c r="D607" s="18" t="n"/>
    </row>
    <row r="608">
      <c r="D608" s="18" t="n"/>
    </row>
    <row r="609">
      <c r="D609" s="18" t="n"/>
    </row>
    <row r="610">
      <c r="D610" s="18" t="n"/>
    </row>
    <row r="611">
      <c r="D611" s="18" t="n"/>
    </row>
    <row r="612">
      <c r="D612" s="18" t="n"/>
    </row>
    <row r="613">
      <c r="D613" s="18" t="n"/>
    </row>
    <row r="614">
      <c r="D614" s="18" t="n"/>
    </row>
    <row r="615">
      <c r="D615" s="18" t="n"/>
    </row>
    <row r="616">
      <c r="D616" s="18" t="n"/>
    </row>
    <row r="617">
      <c r="D617" s="18" t="n"/>
    </row>
    <row r="618">
      <c r="D618" s="18" t="n"/>
    </row>
    <row r="619">
      <c r="D619" s="18" t="n"/>
    </row>
    <row r="620">
      <c r="D620" s="18" t="n"/>
    </row>
    <row r="621">
      <c r="D621" s="18" t="n"/>
    </row>
    <row r="622">
      <c r="D622" s="18" t="n"/>
    </row>
    <row r="623">
      <c r="D623" s="18" t="n"/>
    </row>
    <row r="624">
      <c r="D624" s="18" t="n"/>
    </row>
    <row r="625">
      <c r="D625" s="18" t="n"/>
    </row>
    <row r="626">
      <c r="D626" s="18" t="n"/>
    </row>
    <row r="627">
      <c r="D627" s="18" t="n"/>
    </row>
    <row r="628">
      <c r="D628" s="18" t="n"/>
    </row>
    <row r="629">
      <c r="D629" s="18" t="n"/>
    </row>
    <row r="630">
      <c r="D630" s="18" t="n"/>
    </row>
    <row r="631">
      <c r="D631" s="18" t="n"/>
    </row>
    <row r="632">
      <c r="D632" s="18" t="n"/>
    </row>
    <row r="633">
      <c r="D633" s="18" t="n"/>
    </row>
    <row r="634">
      <c r="D634" s="18" t="n"/>
    </row>
    <row r="635">
      <c r="D635" s="18" t="n"/>
    </row>
    <row r="636">
      <c r="D636" s="18" t="n"/>
    </row>
    <row r="637">
      <c r="D637" s="18" t="n"/>
    </row>
    <row r="638">
      <c r="D638" s="18" t="n"/>
    </row>
    <row r="639">
      <c r="D639" s="18" t="n"/>
    </row>
    <row r="640">
      <c r="D640" s="18" t="n"/>
    </row>
    <row r="641">
      <c r="D641" s="18" t="n"/>
    </row>
    <row r="642">
      <c r="D642" s="18" t="n"/>
    </row>
    <row r="643">
      <c r="D643" s="18" t="n"/>
    </row>
    <row r="644">
      <c r="D644" s="18" t="n"/>
    </row>
    <row r="645">
      <c r="D645" s="18" t="n"/>
    </row>
    <row r="646">
      <c r="D646" s="18" t="n"/>
    </row>
    <row r="647">
      <c r="D647" s="18" t="n"/>
    </row>
    <row r="648">
      <c r="D648" s="18" t="n"/>
    </row>
    <row r="649">
      <c r="D649" s="18" t="n"/>
    </row>
    <row r="650">
      <c r="D650" s="18" t="n"/>
    </row>
    <row r="651">
      <c r="D651" s="18" t="n"/>
    </row>
    <row r="652">
      <c r="D652" s="18" t="n"/>
    </row>
    <row r="653">
      <c r="D653" s="18" t="n"/>
    </row>
    <row r="654">
      <c r="D654" s="18" t="n"/>
    </row>
    <row r="655">
      <c r="D655" s="18" t="n"/>
    </row>
    <row r="656">
      <c r="D656" s="18" t="n"/>
    </row>
    <row r="657">
      <c r="D657" s="18" t="n"/>
    </row>
    <row r="658">
      <c r="D658" s="18" t="n"/>
    </row>
    <row r="659">
      <c r="D659" s="18" t="n"/>
    </row>
    <row r="660">
      <c r="D660" s="18" t="n"/>
    </row>
    <row r="661">
      <c r="D661" s="18" t="n"/>
    </row>
    <row r="662">
      <c r="D662" s="18" t="n"/>
    </row>
    <row r="663">
      <c r="D663" s="18" t="n"/>
    </row>
    <row r="664">
      <c r="D664" s="18" t="n"/>
    </row>
    <row r="665">
      <c r="D665" s="18" t="n"/>
    </row>
    <row r="666">
      <c r="D666" s="18" t="n"/>
    </row>
    <row r="667">
      <c r="D667" s="18" t="n"/>
    </row>
    <row r="668">
      <c r="D668" s="18" t="n"/>
    </row>
    <row r="669">
      <c r="D669" s="18" t="n"/>
    </row>
    <row r="670">
      <c r="D670" s="18" t="n"/>
    </row>
    <row r="671">
      <c r="D671" s="18" t="n"/>
    </row>
    <row r="672">
      <c r="D672" s="18" t="n"/>
    </row>
    <row r="673">
      <c r="D673" s="18" t="n"/>
    </row>
    <row r="674">
      <c r="D674" s="18" t="n"/>
    </row>
    <row r="675">
      <c r="D675" s="18" t="n"/>
    </row>
    <row r="676">
      <c r="D676" s="18" t="n"/>
    </row>
    <row r="677">
      <c r="D677" s="18" t="n"/>
    </row>
    <row r="678">
      <c r="D678" s="18" t="n"/>
    </row>
    <row r="679">
      <c r="D679" s="18" t="n"/>
    </row>
    <row r="680">
      <c r="D680" s="18" t="n"/>
    </row>
    <row r="681">
      <c r="D681" s="18" t="n"/>
    </row>
    <row r="682">
      <c r="D682" s="18" t="n"/>
    </row>
    <row r="683">
      <c r="D683" s="18" t="n"/>
    </row>
    <row r="684">
      <c r="D684" s="18" t="n"/>
    </row>
    <row r="685">
      <c r="D685" s="18" t="n"/>
    </row>
    <row r="686">
      <c r="D686" s="18" t="n"/>
    </row>
    <row r="687">
      <c r="D687" s="18" t="n"/>
    </row>
    <row r="688">
      <c r="D688" s="18" t="n"/>
    </row>
    <row r="689">
      <c r="D689" s="18" t="n"/>
    </row>
    <row r="690">
      <c r="D690" s="18" t="n"/>
    </row>
    <row r="691">
      <c r="D691" s="18" t="n"/>
    </row>
    <row r="692">
      <c r="D692" s="18" t="n"/>
    </row>
    <row r="693">
      <c r="D693" s="18" t="n"/>
    </row>
    <row r="694">
      <c r="D694" s="18" t="n"/>
    </row>
    <row r="695">
      <c r="D695" s="18" t="n"/>
    </row>
    <row r="696">
      <c r="D696" s="18" t="n"/>
    </row>
    <row r="697">
      <c r="D697" s="18" t="n"/>
    </row>
    <row r="698">
      <c r="D698" s="18" t="n"/>
    </row>
    <row r="699">
      <c r="D699" s="18" t="n"/>
    </row>
    <row r="700">
      <c r="D700" s="18" t="n"/>
    </row>
    <row r="701">
      <c r="D701" s="18" t="n"/>
    </row>
    <row r="702">
      <c r="D702" s="18" t="n"/>
    </row>
    <row r="703">
      <c r="D703" s="18" t="n"/>
    </row>
    <row r="704">
      <c r="D704" s="18" t="n"/>
    </row>
    <row r="705">
      <c r="D705" s="18" t="n"/>
    </row>
    <row r="706">
      <c r="D706" s="18" t="n"/>
    </row>
    <row r="707">
      <c r="D707" s="18" t="n"/>
    </row>
    <row r="708">
      <c r="D708" s="18" t="n"/>
    </row>
    <row r="709">
      <c r="D709" s="18" t="n"/>
    </row>
    <row r="710">
      <c r="D710" s="18" t="n"/>
    </row>
    <row r="711">
      <c r="D711" s="18" t="n"/>
    </row>
    <row r="712">
      <c r="D712" s="18" t="n"/>
    </row>
    <row r="713">
      <c r="D713" s="18" t="n"/>
    </row>
    <row r="714">
      <c r="D714" s="18" t="n"/>
    </row>
    <row r="715">
      <c r="D715" s="18" t="n"/>
    </row>
    <row r="716">
      <c r="D716" s="18" t="n"/>
    </row>
    <row r="717">
      <c r="D717" s="18" t="n"/>
    </row>
    <row r="718">
      <c r="D718" s="18" t="n"/>
    </row>
    <row r="719">
      <c r="D719" s="18" t="n"/>
    </row>
    <row r="720">
      <c r="D720" s="18" t="n"/>
    </row>
    <row r="721">
      <c r="D721" s="18" t="n"/>
    </row>
    <row r="722">
      <c r="D722" s="18" t="n"/>
    </row>
    <row r="723">
      <c r="D723" s="18" t="n"/>
    </row>
    <row r="724">
      <c r="D724" s="18" t="n"/>
    </row>
    <row r="725">
      <c r="D725" s="18" t="n"/>
    </row>
    <row r="726">
      <c r="D726" s="18" t="n"/>
    </row>
    <row r="727">
      <c r="D727" s="18" t="n"/>
    </row>
    <row r="728">
      <c r="D728" s="18" t="n"/>
    </row>
    <row r="729">
      <c r="D729" s="18" t="n"/>
    </row>
    <row r="730">
      <c r="D730" s="18" t="n"/>
    </row>
    <row r="731">
      <c r="D731" s="18" t="n"/>
    </row>
    <row r="732">
      <c r="D732" s="18" t="n"/>
    </row>
    <row r="733">
      <c r="D733" s="18" t="n"/>
    </row>
    <row r="734">
      <c r="D734" s="18" t="n"/>
    </row>
    <row r="735">
      <c r="D735" s="18" t="n"/>
    </row>
    <row r="736">
      <c r="D736" s="18" t="n"/>
    </row>
    <row r="737">
      <c r="D737" s="18" t="n"/>
    </row>
    <row r="738">
      <c r="D738" s="18" t="n"/>
    </row>
    <row r="739">
      <c r="D739" s="18" t="n"/>
    </row>
    <row r="740">
      <c r="D740" s="18" t="n"/>
    </row>
    <row r="741">
      <c r="D741" s="18" t="n"/>
    </row>
    <row r="742">
      <c r="D742" s="18" t="n"/>
    </row>
    <row r="743">
      <c r="D743" s="18" t="n"/>
    </row>
    <row r="744">
      <c r="D744" s="18" t="n"/>
    </row>
    <row r="745">
      <c r="D745" s="18" t="n"/>
    </row>
    <row r="746">
      <c r="D746" s="18" t="n"/>
    </row>
    <row r="747">
      <c r="D747" s="18" t="n"/>
    </row>
    <row r="748">
      <c r="D748" s="18" t="n"/>
    </row>
    <row r="749">
      <c r="D749" s="18" t="n"/>
    </row>
    <row r="750">
      <c r="D750" s="18" t="n"/>
    </row>
    <row r="751">
      <c r="D751" s="18" t="n"/>
    </row>
    <row r="752">
      <c r="D752" s="18" t="n"/>
    </row>
    <row r="753">
      <c r="D753" s="18" t="n"/>
    </row>
    <row r="754">
      <c r="D754" s="18" t="n"/>
    </row>
    <row r="755">
      <c r="D755" s="18" t="n"/>
    </row>
    <row r="756">
      <c r="D756" s="18" t="n"/>
    </row>
    <row r="757">
      <c r="D757" s="18" t="n"/>
    </row>
    <row r="758">
      <c r="D758" s="18" t="n"/>
    </row>
    <row r="759">
      <c r="D759" s="18" t="n"/>
    </row>
    <row r="760">
      <c r="D760" s="18" t="n"/>
    </row>
    <row r="761">
      <c r="D761" s="18" t="n"/>
    </row>
    <row r="762">
      <c r="D762" s="18" t="n"/>
    </row>
    <row r="763">
      <c r="D763" s="18" t="n"/>
    </row>
    <row r="764">
      <c r="D764" s="18" t="n"/>
    </row>
    <row r="765">
      <c r="D765" s="18" t="n"/>
    </row>
    <row r="766">
      <c r="D766" s="18" t="n"/>
    </row>
    <row r="767">
      <c r="D767" s="18" t="n"/>
    </row>
    <row r="768">
      <c r="D768" s="18" t="n"/>
    </row>
    <row r="769">
      <c r="D769" s="18" t="n"/>
    </row>
    <row r="770">
      <c r="D770" s="18" t="n"/>
    </row>
    <row r="771">
      <c r="D771" s="18" t="n"/>
    </row>
    <row r="772">
      <c r="D772" s="18" t="n"/>
    </row>
    <row r="773">
      <c r="D773" s="18" t="n"/>
    </row>
    <row r="774">
      <c r="D774" s="18" t="n"/>
    </row>
    <row r="775">
      <c r="D775" s="18" t="n"/>
    </row>
    <row r="776">
      <c r="D776" s="18" t="n"/>
    </row>
    <row r="777">
      <c r="D777" s="18" t="n"/>
    </row>
    <row r="778">
      <c r="D778" s="18" t="n"/>
    </row>
    <row r="779">
      <c r="D779" s="18" t="n"/>
    </row>
    <row r="780">
      <c r="D780" s="18" t="n"/>
    </row>
    <row r="781">
      <c r="D781" s="18" t="n"/>
    </row>
    <row r="782">
      <c r="D782" s="18" t="n"/>
    </row>
    <row r="783">
      <c r="D783" s="18" t="n"/>
    </row>
    <row r="784">
      <c r="D784" s="18" t="n"/>
    </row>
    <row r="785">
      <c r="D785" s="18" t="n"/>
    </row>
    <row r="786">
      <c r="D786" s="18" t="n"/>
    </row>
    <row r="787">
      <c r="D787" s="18" t="n"/>
    </row>
    <row r="788">
      <c r="D788" s="18" t="n"/>
    </row>
    <row r="789">
      <c r="D789" s="18" t="n"/>
    </row>
    <row r="790">
      <c r="D790" s="18" t="n"/>
    </row>
    <row r="791">
      <c r="D791" s="18" t="n"/>
    </row>
    <row r="792">
      <c r="D792" s="18" t="n"/>
    </row>
    <row r="793">
      <c r="D793" s="18" t="n"/>
    </row>
    <row r="794">
      <c r="D794" s="18" t="n"/>
    </row>
    <row r="795">
      <c r="D795" s="18" t="n"/>
    </row>
    <row r="796">
      <c r="D796" s="18" t="n"/>
    </row>
    <row r="797">
      <c r="D797" s="18" t="n"/>
    </row>
    <row r="798">
      <c r="D798" s="18" t="n"/>
    </row>
    <row r="799">
      <c r="D799" s="18" t="n"/>
    </row>
    <row r="800">
      <c r="D800" s="18" t="n"/>
    </row>
    <row r="801">
      <c r="D801" s="18" t="n"/>
    </row>
    <row r="802">
      <c r="D802" s="18" t="n"/>
    </row>
    <row r="803">
      <c r="D803" s="18" t="n"/>
    </row>
    <row r="804">
      <c r="D804" s="18" t="n"/>
    </row>
    <row r="805">
      <c r="D805" s="18" t="n"/>
    </row>
    <row r="806">
      <c r="D806" s="18" t="n"/>
    </row>
    <row r="807">
      <c r="D807" s="18" t="n"/>
    </row>
    <row r="808">
      <c r="D808" s="18" t="n"/>
    </row>
    <row r="809">
      <c r="D809" s="18" t="n"/>
    </row>
    <row r="810">
      <c r="D810" s="18" t="n"/>
    </row>
    <row r="811">
      <c r="D811" s="18" t="n"/>
    </row>
    <row r="812">
      <c r="D812" s="18" t="n"/>
    </row>
    <row r="813">
      <c r="D813" s="18" t="n"/>
    </row>
    <row r="814">
      <c r="D814" s="18" t="n"/>
    </row>
    <row r="815">
      <c r="D815" s="18" t="n"/>
    </row>
    <row r="816">
      <c r="D816" s="18" t="n"/>
    </row>
    <row r="817">
      <c r="D817" s="18" t="n"/>
    </row>
    <row r="818">
      <c r="D818" s="18" t="n"/>
    </row>
    <row r="819">
      <c r="D819" s="18" t="n"/>
    </row>
    <row r="820">
      <c r="D820" s="18" t="n"/>
    </row>
    <row r="821">
      <c r="D821" s="18" t="n"/>
    </row>
    <row r="822">
      <c r="D822" s="18" t="n"/>
    </row>
    <row r="823">
      <c r="D823" s="18" t="n"/>
    </row>
    <row r="824">
      <c r="D824" s="18" t="n"/>
    </row>
    <row r="825">
      <c r="D825" s="18" t="n"/>
    </row>
    <row r="826">
      <c r="D826" s="18" t="n"/>
    </row>
    <row r="827">
      <c r="D827" s="18" t="n"/>
    </row>
    <row r="828">
      <c r="D828" s="18" t="n"/>
    </row>
    <row r="829">
      <c r="D829" s="18" t="n"/>
    </row>
    <row r="830">
      <c r="D830" s="18" t="n"/>
    </row>
    <row r="831">
      <c r="D831" s="18" t="n"/>
    </row>
    <row r="832">
      <c r="D832" s="18" t="n"/>
    </row>
    <row r="833">
      <c r="D833" s="18" t="n"/>
    </row>
    <row r="834">
      <c r="D834" s="18" t="n"/>
    </row>
    <row r="835">
      <c r="D835" s="18" t="n"/>
    </row>
    <row r="836">
      <c r="D836" s="18" t="n"/>
    </row>
    <row r="837">
      <c r="D837" s="18" t="n"/>
    </row>
    <row r="838">
      <c r="D838" s="18" t="n"/>
    </row>
    <row r="839">
      <c r="D839" s="18" t="n"/>
    </row>
    <row r="840">
      <c r="D840" s="18" t="n"/>
    </row>
    <row r="841">
      <c r="D841" s="18" t="n"/>
    </row>
    <row r="842">
      <c r="D842" s="18" t="n"/>
    </row>
    <row r="843">
      <c r="D843" s="18" t="n"/>
    </row>
    <row r="844">
      <c r="D844" s="18" t="n"/>
    </row>
    <row r="845">
      <c r="D845" s="18" t="n"/>
    </row>
    <row r="846">
      <c r="D846" s="18" t="n"/>
    </row>
    <row r="847">
      <c r="D847" s="18" t="n"/>
    </row>
    <row r="848">
      <c r="D848" s="18" t="n"/>
    </row>
    <row r="849">
      <c r="D849" s="18" t="n"/>
    </row>
    <row r="850">
      <c r="D850" s="18" t="n"/>
    </row>
    <row r="851">
      <c r="D851" s="18" t="n"/>
    </row>
    <row r="852">
      <c r="D852" s="18" t="n"/>
    </row>
    <row r="853">
      <c r="D853" s="18" t="n"/>
    </row>
    <row r="854">
      <c r="D854" s="18" t="n"/>
    </row>
    <row r="855">
      <c r="D855" s="18" t="n"/>
    </row>
    <row r="856">
      <c r="D856" s="18" t="n"/>
    </row>
    <row r="857">
      <c r="D857" s="18" t="n"/>
    </row>
    <row r="858">
      <c r="D858" s="18" t="n"/>
    </row>
    <row r="859">
      <c r="D859" s="18" t="n"/>
    </row>
    <row r="860">
      <c r="D860" s="18" t="n"/>
    </row>
    <row r="861">
      <c r="D861" s="18" t="n"/>
    </row>
    <row r="862">
      <c r="D862" s="18" t="n"/>
    </row>
    <row r="863">
      <c r="D863" s="18" t="n"/>
    </row>
    <row r="864">
      <c r="D864" s="18" t="n"/>
    </row>
    <row r="865">
      <c r="D865" s="18" t="n"/>
    </row>
    <row r="866">
      <c r="D866" s="18" t="n"/>
    </row>
    <row r="867">
      <c r="D867" s="18" t="n"/>
    </row>
    <row r="868">
      <c r="D868" s="18" t="n"/>
    </row>
    <row r="869">
      <c r="D869" s="18" t="n"/>
    </row>
    <row r="870">
      <c r="D870" s="18" t="n"/>
    </row>
    <row r="871">
      <c r="D871" s="18" t="n"/>
    </row>
    <row r="872">
      <c r="D872" s="18" t="n"/>
    </row>
    <row r="873">
      <c r="D873" s="18" t="n"/>
    </row>
    <row r="874">
      <c r="D874" s="18" t="n"/>
    </row>
    <row r="875">
      <c r="D875" s="18" t="n"/>
    </row>
    <row r="876">
      <c r="D876" s="18" t="n"/>
    </row>
    <row r="877">
      <c r="D877" s="18" t="n"/>
    </row>
    <row r="878">
      <c r="D878" s="18" t="n"/>
    </row>
    <row r="879">
      <c r="D879" s="18" t="n"/>
    </row>
    <row r="880">
      <c r="D880" s="18" t="n"/>
    </row>
    <row r="881">
      <c r="D881" s="18" t="n"/>
    </row>
    <row r="882">
      <c r="D882" s="18" t="n"/>
    </row>
    <row r="883">
      <c r="D883" s="18" t="n"/>
    </row>
    <row r="884">
      <c r="D884" s="18" t="n"/>
    </row>
    <row r="885">
      <c r="D885" s="18" t="n"/>
    </row>
    <row r="886">
      <c r="D886" s="18" t="n"/>
    </row>
    <row r="887">
      <c r="D887" s="18" t="n"/>
    </row>
    <row r="888">
      <c r="D888" s="18" t="n"/>
    </row>
    <row r="889">
      <c r="D889" s="18" t="n"/>
    </row>
    <row r="890">
      <c r="D890" s="18" t="n"/>
    </row>
    <row r="891">
      <c r="D891" s="18" t="n"/>
    </row>
    <row r="892">
      <c r="D892" s="18" t="n"/>
    </row>
    <row r="893">
      <c r="D893" s="18" t="n"/>
    </row>
    <row r="894">
      <c r="D894" s="18" t="n"/>
    </row>
    <row r="895">
      <c r="D895" s="18" t="n"/>
    </row>
    <row r="896">
      <c r="D896" s="18" t="n"/>
    </row>
    <row r="897">
      <c r="D897" s="18" t="n"/>
    </row>
    <row r="898">
      <c r="D898" s="18" t="n"/>
    </row>
    <row r="899">
      <c r="D899" s="18" t="n"/>
    </row>
    <row r="900">
      <c r="D900" s="18" t="n"/>
    </row>
    <row r="901">
      <c r="D901" s="18" t="n"/>
    </row>
    <row r="902">
      <c r="D902" s="18" t="n"/>
    </row>
    <row r="903">
      <c r="D903" s="18" t="n"/>
    </row>
    <row r="904">
      <c r="D904" s="18" t="n"/>
    </row>
    <row r="905">
      <c r="D905" s="18" t="n"/>
    </row>
    <row r="906">
      <c r="D906" s="18" t="n"/>
    </row>
    <row r="907">
      <c r="D907" s="18" t="n"/>
    </row>
    <row r="908">
      <c r="D908" s="18" t="n"/>
    </row>
    <row r="909">
      <c r="D909" s="18" t="n"/>
    </row>
    <row r="910">
      <c r="D910" s="18" t="n"/>
    </row>
    <row r="911">
      <c r="D911" s="18" t="n"/>
    </row>
    <row r="912">
      <c r="D912" s="18" t="n"/>
    </row>
    <row r="913">
      <c r="D913" s="18" t="n"/>
    </row>
    <row r="914">
      <c r="D914" s="18" t="n"/>
    </row>
    <row r="915">
      <c r="D915" s="18" t="n"/>
    </row>
    <row r="916">
      <c r="D916" s="18" t="n"/>
    </row>
    <row r="917">
      <c r="D917" s="18" t="n"/>
    </row>
    <row r="918">
      <c r="D918" s="18" t="n"/>
    </row>
    <row r="919">
      <c r="D919" s="18" t="n"/>
    </row>
    <row r="920">
      <c r="D920" s="18" t="n"/>
    </row>
    <row r="921">
      <c r="D921" s="18" t="n"/>
    </row>
    <row r="922">
      <c r="D922" s="18" t="n"/>
    </row>
    <row r="923">
      <c r="D923" s="18" t="n"/>
    </row>
    <row r="924">
      <c r="D924" s="18" t="n"/>
    </row>
    <row r="925">
      <c r="D925" s="18" t="n"/>
    </row>
    <row r="926">
      <c r="D926" s="18" t="n"/>
    </row>
    <row r="927">
      <c r="D927" s="18" t="n"/>
    </row>
    <row r="928">
      <c r="D928" s="18" t="n"/>
    </row>
    <row r="929">
      <c r="D929" s="18" t="n"/>
    </row>
    <row r="930">
      <c r="D930" s="18" t="n"/>
    </row>
    <row r="931">
      <c r="D931" s="18" t="n"/>
    </row>
    <row r="932">
      <c r="D932" s="18" t="n"/>
    </row>
    <row r="933">
      <c r="D933" s="18" t="n"/>
    </row>
    <row r="934">
      <c r="D934" s="18" t="n"/>
    </row>
    <row r="935">
      <c r="D935" s="18" t="n"/>
    </row>
    <row r="936">
      <c r="D936" s="18" t="n"/>
    </row>
    <row r="937">
      <c r="D937" s="18" t="n"/>
    </row>
    <row r="938">
      <c r="D938" s="18" t="n"/>
    </row>
    <row r="939">
      <c r="D939" s="18" t="n"/>
    </row>
    <row r="940">
      <c r="D940" s="18" t="n"/>
    </row>
    <row r="941">
      <c r="D941" s="18" t="n"/>
    </row>
    <row r="942">
      <c r="D942" s="18" t="n"/>
    </row>
    <row r="943">
      <c r="D943" s="18" t="n"/>
    </row>
    <row r="944">
      <c r="D944" s="18" t="n"/>
    </row>
    <row r="945">
      <c r="D945" s="18" t="n"/>
    </row>
    <row r="946">
      <c r="D946" s="18" t="n"/>
    </row>
    <row r="947">
      <c r="D947" s="18" t="n"/>
    </row>
    <row r="948">
      <c r="D948" s="18" t="n"/>
    </row>
    <row r="949">
      <c r="D949" s="18" t="n"/>
    </row>
    <row r="950">
      <c r="D950" s="18" t="n"/>
    </row>
    <row r="951">
      <c r="D951" s="18" t="n"/>
    </row>
    <row r="952">
      <c r="D952" s="18" t="n"/>
    </row>
    <row r="953">
      <c r="D953" s="18" t="n"/>
    </row>
    <row r="954">
      <c r="D954" s="18" t="n"/>
    </row>
    <row r="955">
      <c r="D955" s="18" t="n"/>
    </row>
    <row r="956">
      <c r="D956" s="18" t="n"/>
    </row>
    <row r="957">
      <c r="D957" s="18" t="n"/>
    </row>
    <row r="958">
      <c r="D958" s="18" t="n"/>
    </row>
    <row r="959">
      <c r="D959" s="18" t="n"/>
    </row>
    <row r="960">
      <c r="D960" s="18" t="n"/>
    </row>
    <row r="961">
      <c r="D961" s="18" t="n"/>
    </row>
    <row r="962">
      <c r="D962" s="18" t="n"/>
    </row>
    <row r="963">
      <c r="D963" s="18" t="n"/>
    </row>
    <row r="964">
      <c r="D964" s="18" t="n"/>
    </row>
    <row r="965">
      <c r="D965" s="18" t="n"/>
    </row>
    <row r="966">
      <c r="D966" s="18" t="n"/>
    </row>
    <row r="967">
      <c r="D967" s="18" t="n"/>
    </row>
    <row r="968">
      <c r="D968" s="18" t="n"/>
    </row>
    <row r="969">
      <c r="D969" s="18" t="n"/>
    </row>
    <row r="970">
      <c r="D970" s="18" t="n"/>
    </row>
    <row r="971">
      <c r="D971" s="18" t="n"/>
    </row>
    <row r="972">
      <c r="D972" s="18" t="n"/>
    </row>
    <row r="973">
      <c r="D973" s="18" t="n"/>
    </row>
    <row r="974">
      <c r="D974" s="18" t="n"/>
    </row>
    <row r="975">
      <c r="D975" s="18" t="n"/>
    </row>
    <row r="976">
      <c r="D976" s="18" t="n"/>
    </row>
    <row r="977">
      <c r="D977" s="18" t="n"/>
    </row>
    <row r="978">
      <c r="D978" s="18" t="n"/>
    </row>
    <row r="979">
      <c r="D979" s="18" t="n"/>
    </row>
    <row r="980">
      <c r="D980" s="18" t="n"/>
    </row>
    <row r="981">
      <c r="D981" s="18" t="n"/>
    </row>
    <row r="982">
      <c r="D982" s="18" t="n"/>
    </row>
    <row r="983">
      <c r="D983" s="18" t="n"/>
    </row>
    <row r="984">
      <c r="D984" s="18" t="n"/>
    </row>
    <row r="985">
      <c r="D985" s="18" t="n"/>
    </row>
    <row r="986">
      <c r="D986" s="18" t="n"/>
    </row>
    <row r="987">
      <c r="D987" s="18" t="n"/>
    </row>
    <row r="988">
      <c r="D988" s="18" t="n"/>
    </row>
    <row r="989">
      <c r="D989" s="18" t="n"/>
    </row>
    <row r="990">
      <c r="D990" s="18" t="n"/>
    </row>
    <row r="991">
      <c r="D991" s="18" t="n"/>
    </row>
    <row r="992">
      <c r="D992" s="18" t="n"/>
    </row>
    <row r="993">
      <c r="D993" s="18" t="n"/>
    </row>
    <row r="994">
      <c r="D994" s="18" t="n"/>
    </row>
    <row r="995">
      <c r="D995" s="18" t="n"/>
    </row>
    <row r="996">
      <c r="D996" s="18" t="n"/>
    </row>
    <row r="997">
      <c r="D997" s="18" t="n"/>
    </row>
    <row r="998">
      <c r="D998" s="18" t="n"/>
    </row>
    <row r="999">
      <c r="D999" s="18" t="n"/>
    </row>
    <row r="1000">
      <c r="D1000" s="18" t="n"/>
    </row>
    <row r="1001">
      <c r="D1001" s="18" t="n"/>
    </row>
    <row r="1002">
      <c r="D1002" s="18" t="n"/>
    </row>
    <row r="1003">
      <c r="D1003" s="18" t="n"/>
    </row>
    <row r="1004">
      <c r="D1004" s="18" t="n"/>
    </row>
    <row r="1005">
      <c r="D1005" s="18" t="n"/>
    </row>
  </sheetData>
  <autoFilter ref="A5:D10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24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10" customWidth="1" min="11" max="11"/>
    <col width="14" customWidth="1" min="12" max="12"/>
    <col width="14" customWidth="1" min="13" max="13"/>
    <col width="12" customWidth="1" min="14" max="14"/>
    <col width="8" customWidth="1" min="15" max="15"/>
    <col hidden="1" width="10" customWidth="1" min="16" max="16"/>
  </cols>
  <sheetData>
    <row r="1">
      <c r="A1" s="13" t="inlineStr">
        <is>
          <t>분기 리밸런싱 계산기</t>
        </is>
      </c>
    </row>
    <row r="2">
      <c r="A2" s="14" t="inlineStr">
        <is>
          <t>※ 계좌설정과 '동일한 순서'로 보유수량·현재가만 입력하세요. 나머지는 전부 자동 계산됩니다.</t>
        </is>
      </c>
    </row>
    <row r="4">
      <c r="A4" s="9" t="inlineStr">
        <is>
          <t>계좌ID</t>
        </is>
      </c>
      <c r="B4" s="9" t="inlineStr">
        <is>
          <t>계좌별칭</t>
        </is>
      </c>
      <c r="C4" s="9" t="inlineStr">
        <is>
          <t>티커</t>
        </is>
      </c>
      <c r="D4" s="9" t="inlineStr">
        <is>
          <t>ETF명</t>
        </is>
      </c>
      <c r="E4" s="9" t="inlineStr">
        <is>
          <t>보유수량</t>
        </is>
      </c>
      <c r="F4" s="9" t="inlineStr">
        <is>
          <t>현재가</t>
        </is>
      </c>
      <c r="G4" s="9" t="inlineStr">
        <is>
          <t>평가금액</t>
        </is>
      </c>
      <c r="H4" s="9" t="inlineStr">
        <is>
          <t>계좌합계금액</t>
        </is>
      </c>
      <c r="I4" s="9" t="inlineStr">
        <is>
          <t>현재비중</t>
        </is>
      </c>
      <c r="J4" s="9" t="inlineStr">
        <is>
          <t>목표비중</t>
        </is>
      </c>
      <c r="K4" s="9" t="inlineStr">
        <is>
          <t>비중차이</t>
        </is>
      </c>
      <c r="L4" s="9" t="inlineStr">
        <is>
          <t>목표금액</t>
        </is>
      </c>
      <c r="M4" s="9" t="inlineStr">
        <is>
          <t>조정금액(+매수/-매도)</t>
        </is>
      </c>
      <c r="N4" s="9" t="inlineStr">
        <is>
          <t>매매수량</t>
        </is>
      </c>
      <c r="O4" s="9" t="inlineStr">
        <is>
          <t>액션</t>
        </is>
      </c>
      <c r="P4" s="9" t="inlineStr">
        <is>
          <t>비중차이(절대값)</t>
        </is>
      </c>
    </row>
    <row r="5">
      <c r="A5" s="10">
        <f>계좌설정!A5</f>
        <v/>
      </c>
      <c r="B5" s="10">
        <f>계좌설정!C5</f>
        <v/>
      </c>
      <c r="C5" s="10">
        <f>계좌설정!E5</f>
        <v/>
      </c>
      <c r="D5" s="10">
        <f>계좌설정!F5</f>
        <v/>
      </c>
      <c r="E5" s="19" t="n"/>
      <c r="F5" s="20" t="n"/>
      <c r="G5" s="11">
        <f>E5*F5</f>
        <v/>
      </c>
      <c r="H5" s="11">
        <f>SUMIF($A$5:$A$20,A5,$G$5:$G$20)</f>
        <v/>
      </c>
      <c r="I5" s="12">
        <f>IF(H5=0,0,G5/H5)</f>
        <v/>
      </c>
      <c r="J5" s="12">
        <f>계좌설정!G5</f>
        <v/>
      </c>
      <c r="K5" s="12">
        <f>I5-J5</f>
        <v/>
      </c>
      <c r="L5" s="11">
        <f>H5*J5</f>
        <v/>
      </c>
      <c r="M5" s="11">
        <f>L5-G5</f>
        <v/>
      </c>
      <c r="N5" s="10">
        <f>IF(F5=0,0,ROUND(M5/F5,0))</f>
        <v/>
      </c>
      <c r="O5" s="21">
        <f>IF(N5&gt;0,"매수",IF(N5&lt;0,"매도","유지"))</f>
        <v/>
      </c>
      <c r="P5" s="12">
        <f>ABS(K5)</f>
        <v/>
      </c>
    </row>
    <row r="6">
      <c r="A6" s="10">
        <f>계좌설정!A6</f>
        <v/>
      </c>
      <c r="B6" s="10">
        <f>계좌설정!C6</f>
        <v/>
      </c>
      <c r="C6" s="10">
        <f>계좌설정!E6</f>
        <v/>
      </c>
      <c r="D6" s="10">
        <f>계좌설정!F6</f>
        <v/>
      </c>
      <c r="E6" s="19" t="n"/>
      <c r="F6" s="20" t="n"/>
      <c r="G6" s="11">
        <f>E6*F6</f>
        <v/>
      </c>
      <c r="H6" s="11">
        <f>SUMIF($A$5:$A$20,A6,$G$5:$G$20)</f>
        <v/>
      </c>
      <c r="I6" s="12">
        <f>IF(H6=0,0,G6/H6)</f>
        <v/>
      </c>
      <c r="J6" s="12">
        <f>계좌설정!G6</f>
        <v/>
      </c>
      <c r="K6" s="12">
        <f>I6-J6</f>
        <v/>
      </c>
      <c r="L6" s="11">
        <f>H6*J6</f>
        <v/>
      </c>
      <c r="M6" s="11">
        <f>L6-G6</f>
        <v/>
      </c>
      <c r="N6" s="10">
        <f>IF(F6=0,0,ROUND(M6/F6,0))</f>
        <v/>
      </c>
      <c r="O6" s="21">
        <f>IF(N6&gt;0,"매수",IF(N6&lt;0,"매도","유지"))</f>
        <v/>
      </c>
      <c r="P6" s="12">
        <f>ABS(K6)</f>
        <v/>
      </c>
    </row>
    <row r="7">
      <c r="A7" s="10">
        <f>계좌설정!A7</f>
        <v/>
      </c>
      <c r="B7" s="10">
        <f>계좌설정!C7</f>
        <v/>
      </c>
      <c r="C7" s="10">
        <f>계좌설정!E7</f>
        <v/>
      </c>
      <c r="D7" s="10">
        <f>계좌설정!F7</f>
        <v/>
      </c>
      <c r="E7" s="19" t="n"/>
      <c r="F7" s="20" t="n"/>
      <c r="G7" s="11">
        <f>E7*F7</f>
        <v/>
      </c>
      <c r="H7" s="11">
        <f>SUMIF($A$5:$A$20,A7,$G$5:$G$20)</f>
        <v/>
      </c>
      <c r="I7" s="12">
        <f>IF(H7=0,0,G7/H7)</f>
        <v/>
      </c>
      <c r="J7" s="12">
        <f>계좌설정!G7</f>
        <v/>
      </c>
      <c r="K7" s="12">
        <f>I7-J7</f>
        <v/>
      </c>
      <c r="L7" s="11">
        <f>H7*J7</f>
        <v/>
      </c>
      <c r="M7" s="11">
        <f>L7-G7</f>
        <v/>
      </c>
      <c r="N7" s="10">
        <f>IF(F7=0,0,ROUND(M7/F7,0))</f>
        <v/>
      </c>
      <c r="O7" s="21">
        <f>IF(N7&gt;0,"매수",IF(N7&lt;0,"매도","유지"))</f>
        <v/>
      </c>
      <c r="P7" s="12">
        <f>ABS(K7)</f>
        <v/>
      </c>
    </row>
    <row r="8">
      <c r="A8" s="10">
        <f>계좌설정!A8</f>
        <v/>
      </c>
      <c r="B8" s="10">
        <f>계좌설정!C8</f>
        <v/>
      </c>
      <c r="C8" s="10">
        <f>계좌설정!E8</f>
        <v/>
      </c>
      <c r="D8" s="10">
        <f>계좌설정!F8</f>
        <v/>
      </c>
      <c r="E8" s="19" t="n"/>
      <c r="F8" s="20" t="n"/>
      <c r="G8" s="11">
        <f>E8*F8</f>
        <v/>
      </c>
      <c r="H8" s="11">
        <f>SUMIF($A$5:$A$20,A8,$G$5:$G$20)</f>
        <v/>
      </c>
      <c r="I8" s="12">
        <f>IF(H8=0,0,G8/H8)</f>
        <v/>
      </c>
      <c r="J8" s="12">
        <f>계좌설정!G8</f>
        <v/>
      </c>
      <c r="K8" s="12">
        <f>I8-J8</f>
        <v/>
      </c>
      <c r="L8" s="11">
        <f>H8*J8</f>
        <v/>
      </c>
      <c r="M8" s="11">
        <f>L8-G8</f>
        <v/>
      </c>
      <c r="N8" s="10">
        <f>IF(F8=0,0,ROUND(M8/F8,0))</f>
        <v/>
      </c>
      <c r="O8" s="21">
        <f>IF(N8&gt;0,"매수",IF(N8&lt;0,"매도","유지"))</f>
        <v/>
      </c>
      <c r="P8" s="12">
        <f>ABS(K8)</f>
        <v/>
      </c>
    </row>
    <row r="9">
      <c r="A9" s="10">
        <f>계좌설정!A9</f>
        <v/>
      </c>
      <c r="B9" s="10">
        <f>계좌설정!C9</f>
        <v/>
      </c>
      <c r="C9" s="10">
        <f>계좌설정!E9</f>
        <v/>
      </c>
      <c r="D9" s="10">
        <f>계좌설정!F9</f>
        <v/>
      </c>
      <c r="E9" s="19" t="n"/>
      <c r="F9" s="20" t="n"/>
      <c r="G9" s="11">
        <f>E9*F9</f>
        <v/>
      </c>
      <c r="H9" s="11">
        <f>SUMIF($A$5:$A$20,A9,$G$5:$G$20)</f>
        <v/>
      </c>
      <c r="I9" s="12">
        <f>IF(H9=0,0,G9/H9)</f>
        <v/>
      </c>
      <c r="J9" s="12">
        <f>계좌설정!G9</f>
        <v/>
      </c>
      <c r="K9" s="12">
        <f>I9-J9</f>
        <v/>
      </c>
      <c r="L9" s="11">
        <f>H9*J9</f>
        <v/>
      </c>
      <c r="M9" s="11">
        <f>L9-G9</f>
        <v/>
      </c>
      <c r="N9" s="10">
        <f>IF(F9=0,0,ROUND(M9/F9,0))</f>
        <v/>
      </c>
      <c r="O9" s="21">
        <f>IF(N9&gt;0,"매수",IF(N9&lt;0,"매도","유지"))</f>
        <v/>
      </c>
      <c r="P9" s="12">
        <f>ABS(K9)</f>
        <v/>
      </c>
    </row>
    <row r="10">
      <c r="A10" s="10">
        <f>계좌설정!A10</f>
        <v/>
      </c>
      <c r="B10" s="10">
        <f>계좌설정!C10</f>
        <v/>
      </c>
      <c r="C10" s="10">
        <f>계좌설정!E10</f>
        <v/>
      </c>
      <c r="D10" s="10">
        <f>계좌설정!F10</f>
        <v/>
      </c>
      <c r="E10" s="19" t="n"/>
      <c r="F10" s="20" t="n"/>
      <c r="G10" s="11">
        <f>E10*F10</f>
        <v/>
      </c>
      <c r="H10" s="11">
        <f>SUMIF($A$5:$A$20,A10,$G$5:$G$20)</f>
        <v/>
      </c>
      <c r="I10" s="12">
        <f>IF(H10=0,0,G10/H10)</f>
        <v/>
      </c>
      <c r="J10" s="12">
        <f>계좌설정!G10</f>
        <v/>
      </c>
      <c r="K10" s="12">
        <f>I10-J10</f>
        <v/>
      </c>
      <c r="L10" s="11">
        <f>H10*J10</f>
        <v/>
      </c>
      <c r="M10" s="11">
        <f>L10-G10</f>
        <v/>
      </c>
      <c r="N10" s="10">
        <f>IF(F10=0,0,ROUND(M10/F10,0))</f>
        <v/>
      </c>
      <c r="O10" s="21">
        <f>IF(N10&gt;0,"매수",IF(N10&lt;0,"매도","유지"))</f>
        <v/>
      </c>
      <c r="P10" s="12">
        <f>ABS(K10)</f>
        <v/>
      </c>
    </row>
    <row r="11">
      <c r="A11" s="10">
        <f>계좌설정!A11</f>
        <v/>
      </c>
      <c r="B11" s="10">
        <f>계좌설정!C11</f>
        <v/>
      </c>
      <c r="C11" s="10">
        <f>계좌설정!E11</f>
        <v/>
      </c>
      <c r="D11" s="10">
        <f>계좌설정!F11</f>
        <v/>
      </c>
      <c r="E11" s="19" t="n"/>
      <c r="F11" s="20" t="n"/>
      <c r="G11" s="11">
        <f>E11*F11</f>
        <v/>
      </c>
      <c r="H11" s="11">
        <f>SUMIF($A$5:$A$20,A11,$G$5:$G$20)</f>
        <v/>
      </c>
      <c r="I11" s="12">
        <f>IF(H11=0,0,G11/H11)</f>
        <v/>
      </c>
      <c r="J11" s="12">
        <f>계좌설정!G11</f>
        <v/>
      </c>
      <c r="K11" s="12">
        <f>I11-J11</f>
        <v/>
      </c>
      <c r="L11" s="11">
        <f>H11*J11</f>
        <v/>
      </c>
      <c r="M11" s="11">
        <f>L11-G11</f>
        <v/>
      </c>
      <c r="N11" s="10">
        <f>IF(F11=0,0,ROUND(M11/F11,0))</f>
        <v/>
      </c>
      <c r="O11" s="21">
        <f>IF(N11&gt;0,"매수",IF(N11&lt;0,"매도","유지"))</f>
        <v/>
      </c>
      <c r="P11" s="12">
        <f>ABS(K11)</f>
        <v/>
      </c>
    </row>
    <row r="12">
      <c r="A12" s="10">
        <f>계좌설정!A12</f>
        <v/>
      </c>
      <c r="B12" s="10">
        <f>계좌설정!C12</f>
        <v/>
      </c>
      <c r="C12" s="10">
        <f>계좌설정!E12</f>
        <v/>
      </c>
      <c r="D12" s="10">
        <f>계좌설정!F12</f>
        <v/>
      </c>
      <c r="E12" s="19" t="n"/>
      <c r="F12" s="20" t="n"/>
      <c r="G12" s="11">
        <f>E12*F12</f>
        <v/>
      </c>
      <c r="H12" s="11">
        <f>SUMIF($A$5:$A$20,A12,$G$5:$G$20)</f>
        <v/>
      </c>
      <c r="I12" s="12">
        <f>IF(H12=0,0,G12/H12)</f>
        <v/>
      </c>
      <c r="J12" s="12">
        <f>계좌설정!G12</f>
        <v/>
      </c>
      <c r="K12" s="12">
        <f>I12-J12</f>
        <v/>
      </c>
      <c r="L12" s="11">
        <f>H12*J12</f>
        <v/>
      </c>
      <c r="M12" s="11">
        <f>L12-G12</f>
        <v/>
      </c>
      <c r="N12" s="10">
        <f>IF(F12=0,0,ROUND(M12/F12,0))</f>
        <v/>
      </c>
      <c r="O12" s="21">
        <f>IF(N12&gt;0,"매수",IF(N12&lt;0,"매도","유지"))</f>
        <v/>
      </c>
      <c r="P12" s="12">
        <f>ABS(K12)</f>
        <v/>
      </c>
    </row>
    <row r="13">
      <c r="A13" s="10">
        <f>계좌설정!A13</f>
        <v/>
      </c>
      <c r="B13" s="10">
        <f>계좌설정!C13</f>
        <v/>
      </c>
      <c r="C13" s="10">
        <f>계좌설정!E13</f>
        <v/>
      </c>
      <c r="D13" s="10">
        <f>계좌설정!F13</f>
        <v/>
      </c>
      <c r="E13" s="19" t="n"/>
      <c r="F13" s="20" t="n"/>
      <c r="G13" s="11">
        <f>E13*F13</f>
        <v/>
      </c>
      <c r="H13" s="11">
        <f>SUMIF($A$5:$A$20,A13,$G$5:$G$20)</f>
        <v/>
      </c>
      <c r="I13" s="12">
        <f>IF(H13=0,0,G13/H13)</f>
        <v/>
      </c>
      <c r="J13" s="12">
        <f>계좌설정!G13</f>
        <v/>
      </c>
      <c r="K13" s="12">
        <f>I13-J13</f>
        <v/>
      </c>
      <c r="L13" s="11">
        <f>H13*J13</f>
        <v/>
      </c>
      <c r="M13" s="11">
        <f>L13-G13</f>
        <v/>
      </c>
      <c r="N13" s="10">
        <f>IF(F13=0,0,ROUND(M13/F13,0))</f>
        <v/>
      </c>
      <c r="O13" s="21">
        <f>IF(N13&gt;0,"매수",IF(N13&lt;0,"매도","유지"))</f>
        <v/>
      </c>
      <c r="P13" s="12">
        <f>ABS(K13)</f>
        <v/>
      </c>
    </row>
    <row r="14">
      <c r="A14" s="10">
        <f>계좌설정!A14</f>
        <v/>
      </c>
      <c r="B14" s="10">
        <f>계좌설정!C14</f>
        <v/>
      </c>
      <c r="C14" s="10">
        <f>계좌설정!E14</f>
        <v/>
      </c>
      <c r="D14" s="10">
        <f>계좌설정!F14</f>
        <v/>
      </c>
      <c r="E14" s="19" t="n"/>
      <c r="F14" s="20" t="n"/>
      <c r="G14" s="11">
        <f>E14*F14</f>
        <v/>
      </c>
      <c r="H14" s="11">
        <f>SUMIF($A$5:$A$20,A14,$G$5:$G$20)</f>
        <v/>
      </c>
      <c r="I14" s="12">
        <f>IF(H14=0,0,G14/H14)</f>
        <v/>
      </c>
      <c r="J14" s="12">
        <f>계좌설정!G14</f>
        <v/>
      </c>
      <c r="K14" s="12">
        <f>I14-J14</f>
        <v/>
      </c>
      <c r="L14" s="11">
        <f>H14*J14</f>
        <v/>
      </c>
      <c r="M14" s="11">
        <f>L14-G14</f>
        <v/>
      </c>
      <c r="N14" s="10">
        <f>IF(F14=0,0,ROUND(M14/F14,0))</f>
        <v/>
      </c>
      <c r="O14" s="21">
        <f>IF(N14&gt;0,"매수",IF(N14&lt;0,"매도","유지"))</f>
        <v/>
      </c>
      <c r="P14" s="12">
        <f>ABS(K14)</f>
        <v/>
      </c>
    </row>
    <row r="15">
      <c r="A15" s="10">
        <f>계좌설정!A15</f>
        <v/>
      </c>
      <c r="B15" s="10">
        <f>계좌설정!C15</f>
        <v/>
      </c>
      <c r="C15" s="10">
        <f>계좌설정!E15</f>
        <v/>
      </c>
      <c r="D15" s="10">
        <f>계좌설정!F15</f>
        <v/>
      </c>
      <c r="E15" s="19" t="n"/>
      <c r="F15" s="20" t="n"/>
      <c r="G15" s="11">
        <f>E15*F15</f>
        <v/>
      </c>
      <c r="H15" s="11">
        <f>SUMIF($A$5:$A$20,A15,$G$5:$G$20)</f>
        <v/>
      </c>
      <c r="I15" s="12">
        <f>IF(H15=0,0,G15/H15)</f>
        <v/>
      </c>
      <c r="J15" s="12">
        <f>계좌설정!G15</f>
        <v/>
      </c>
      <c r="K15" s="12">
        <f>I15-J15</f>
        <v/>
      </c>
      <c r="L15" s="11">
        <f>H15*J15</f>
        <v/>
      </c>
      <c r="M15" s="11">
        <f>L15-G15</f>
        <v/>
      </c>
      <c r="N15" s="10">
        <f>IF(F15=0,0,ROUND(M15/F15,0))</f>
        <v/>
      </c>
      <c r="O15" s="21">
        <f>IF(N15&gt;0,"매수",IF(N15&lt;0,"매도","유지"))</f>
        <v/>
      </c>
      <c r="P15" s="12">
        <f>ABS(K15)</f>
        <v/>
      </c>
    </row>
    <row r="16">
      <c r="A16" s="10">
        <f>계좌설정!A16</f>
        <v/>
      </c>
      <c r="B16" s="10">
        <f>계좌설정!C16</f>
        <v/>
      </c>
      <c r="C16" s="10">
        <f>계좌설정!E16</f>
        <v/>
      </c>
      <c r="D16" s="10">
        <f>계좌설정!F16</f>
        <v/>
      </c>
      <c r="E16" s="19" t="n"/>
      <c r="F16" s="20" t="n"/>
      <c r="G16" s="11">
        <f>E16*F16</f>
        <v/>
      </c>
      <c r="H16" s="11">
        <f>SUMIF($A$5:$A$20,A16,$G$5:$G$20)</f>
        <v/>
      </c>
      <c r="I16" s="12">
        <f>IF(H16=0,0,G16/H16)</f>
        <v/>
      </c>
      <c r="J16" s="12">
        <f>계좌설정!G16</f>
        <v/>
      </c>
      <c r="K16" s="12">
        <f>I16-J16</f>
        <v/>
      </c>
      <c r="L16" s="11">
        <f>H16*J16</f>
        <v/>
      </c>
      <c r="M16" s="11">
        <f>L16-G16</f>
        <v/>
      </c>
      <c r="N16" s="10">
        <f>IF(F16=0,0,ROUND(M16/F16,0))</f>
        <v/>
      </c>
      <c r="O16" s="21">
        <f>IF(N16&gt;0,"매수",IF(N16&lt;0,"매도","유지"))</f>
        <v/>
      </c>
      <c r="P16" s="12">
        <f>ABS(K16)</f>
        <v/>
      </c>
    </row>
    <row r="17">
      <c r="A17" s="10">
        <f>계좌설정!A17</f>
        <v/>
      </c>
      <c r="B17" s="10">
        <f>계좌설정!C17</f>
        <v/>
      </c>
      <c r="C17" s="10">
        <f>계좌설정!E17</f>
        <v/>
      </c>
      <c r="D17" s="10">
        <f>계좌설정!F17</f>
        <v/>
      </c>
      <c r="E17" s="19" t="n"/>
      <c r="F17" s="20" t="n"/>
      <c r="G17" s="11">
        <f>E17*F17</f>
        <v/>
      </c>
      <c r="H17" s="11">
        <f>SUMIF($A$5:$A$20,A17,$G$5:$G$20)</f>
        <v/>
      </c>
      <c r="I17" s="12">
        <f>IF(H17=0,0,G17/H17)</f>
        <v/>
      </c>
      <c r="J17" s="12">
        <f>계좌설정!G17</f>
        <v/>
      </c>
      <c r="K17" s="12">
        <f>I17-J17</f>
        <v/>
      </c>
      <c r="L17" s="11">
        <f>H17*J17</f>
        <v/>
      </c>
      <c r="M17" s="11">
        <f>L17-G17</f>
        <v/>
      </c>
      <c r="N17" s="10">
        <f>IF(F17=0,0,ROUND(M17/F17,0))</f>
        <v/>
      </c>
      <c r="O17" s="21">
        <f>IF(N17&gt;0,"매수",IF(N17&lt;0,"매도","유지"))</f>
        <v/>
      </c>
      <c r="P17" s="12">
        <f>ABS(K17)</f>
        <v/>
      </c>
    </row>
    <row r="18">
      <c r="A18" s="10">
        <f>계좌설정!A18</f>
        <v/>
      </c>
      <c r="B18" s="10">
        <f>계좌설정!C18</f>
        <v/>
      </c>
      <c r="C18" s="10">
        <f>계좌설정!E18</f>
        <v/>
      </c>
      <c r="D18" s="10">
        <f>계좌설정!F18</f>
        <v/>
      </c>
      <c r="E18" s="19" t="n"/>
      <c r="F18" s="20" t="n"/>
      <c r="G18" s="11">
        <f>E18*F18</f>
        <v/>
      </c>
      <c r="H18" s="11">
        <f>SUMIF($A$5:$A$20,A18,$G$5:$G$20)</f>
        <v/>
      </c>
      <c r="I18" s="12">
        <f>IF(H18=0,0,G18/H18)</f>
        <v/>
      </c>
      <c r="J18" s="12">
        <f>계좌설정!G18</f>
        <v/>
      </c>
      <c r="K18" s="12">
        <f>I18-J18</f>
        <v/>
      </c>
      <c r="L18" s="11">
        <f>H18*J18</f>
        <v/>
      </c>
      <c r="M18" s="11">
        <f>L18-G18</f>
        <v/>
      </c>
      <c r="N18" s="10">
        <f>IF(F18=0,0,ROUND(M18/F18,0))</f>
        <v/>
      </c>
      <c r="O18" s="21">
        <f>IF(N18&gt;0,"매수",IF(N18&lt;0,"매도","유지"))</f>
        <v/>
      </c>
      <c r="P18" s="12">
        <f>ABS(K18)</f>
        <v/>
      </c>
    </row>
    <row r="19">
      <c r="A19" s="10">
        <f>계좌설정!A19</f>
        <v/>
      </c>
      <c r="B19" s="10">
        <f>계좌설정!C19</f>
        <v/>
      </c>
      <c r="C19" s="10">
        <f>계좌설정!E19</f>
        <v/>
      </c>
      <c r="D19" s="10">
        <f>계좌설정!F19</f>
        <v/>
      </c>
      <c r="E19" s="19" t="n"/>
      <c r="F19" s="20" t="n"/>
      <c r="G19" s="11">
        <f>E19*F19</f>
        <v/>
      </c>
      <c r="H19" s="11">
        <f>SUMIF($A$5:$A$20,A19,$G$5:$G$20)</f>
        <v/>
      </c>
      <c r="I19" s="12">
        <f>IF(H19=0,0,G19/H19)</f>
        <v/>
      </c>
      <c r="J19" s="12">
        <f>계좌설정!G19</f>
        <v/>
      </c>
      <c r="K19" s="12">
        <f>I19-J19</f>
        <v/>
      </c>
      <c r="L19" s="11">
        <f>H19*J19</f>
        <v/>
      </c>
      <c r="M19" s="11">
        <f>L19-G19</f>
        <v/>
      </c>
      <c r="N19" s="10">
        <f>IF(F19=0,0,ROUND(M19/F19,0))</f>
        <v/>
      </c>
      <c r="O19" s="21">
        <f>IF(N19&gt;0,"매수",IF(N19&lt;0,"매도","유지"))</f>
        <v/>
      </c>
      <c r="P19" s="12">
        <f>ABS(K19)</f>
        <v/>
      </c>
    </row>
    <row r="20">
      <c r="A20" s="10">
        <f>계좌설정!A20</f>
        <v/>
      </c>
      <c r="B20" s="10">
        <f>계좌설정!C20</f>
        <v/>
      </c>
      <c r="C20" s="10">
        <f>계좌설정!E20</f>
        <v/>
      </c>
      <c r="D20" s="10">
        <f>계좌설정!F20</f>
        <v/>
      </c>
      <c r="E20" s="19" t="n"/>
      <c r="F20" s="20" t="n"/>
      <c r="G20" s="11">
        <f>E20*F20</f>
        <v/>
      </c>
      <c r="H20" s="11">
        <f>SUMIF($A$5:$A$20,A20,$G$5:$G$20)</f>
        <v/>
      </c>
      <c r="I20" s="12">
        <f>IF(H20=0,0,G20/H20)</f>
        <v/>
      </c>
      <c r="J20" s="12">
        <f>계좌설정!G20</f>
        <v/>
      </c>
      <c r="K20" s="12">
        <f>I20-J20</f>
        <v/>
      </c>
      <c r="L20" s="11">
        <f>H20*J20</f>
        <v/>
      </c>
      <c r="M20" s="11">
        <f>L20-G20</f>
        <v/>
      </c>
      <c r="N20" s="10">
        <f>IF(F20=0,0,ROUND(M20/F20,0))</f>
        <v/>
      </c>
      <c r="O20" s="21">
        <f>IF(N20&gt;0,"매수",IF(N20&lt;0,"매도","유지"))</f>
        <v/>
      </c>
      <c r="P20" s="12">
        <f>ABS(K20)</f>
        <v/>
      </c>
    </row>
    <row r="21">
      <c r="A21" s="10" t="n"/>
      <c r="B21" s="10" t="n"/>
      <c r="C21" s="10" t="n"/>
      <c r="D21" s="22" t="inlineStr">
        <is>
          <t>총계</t>
        </is>
      </c>
      <c r="E21" s="10" t="n"/>
      <c r="F21" s="10" t="n"/>
      <c r="G21" s="23">
        <f>SUM(G5:G20)</f>
        <v/>
      </c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</row>
  </sheetData>
  <conditionalFormatting sqref="K5:K20">
    <cfRule type="cellIs" priority="1" operator="greaterThan" dxfId="1">
      <formula>0.05</formula>
    </cfRule>
    <cfRule type="cellIs" priority="2" operator="lessThan" dxfId="1">
      <formula>-0.05</formula>
    </cfRule>
  </conditionalFormatting>
  <conditionalFormatting sqref="O5:O20">
    <cfRule type="cellIs" priority="3" operator="equal" dxfId="2">
      <formula>"매수"</formula>
    </cfRule>
    <cfRule type="cellIs" priority="4" operator="equal" dxfId="1">
      <formula>"매도"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6" customWidth="1" min="4" max="4"/>
    <col width="10" customWidth="1" min="5" max="5"/>
    <col width="24" customWidth="1" min="6" max="6"/>
    <col width="8" customWidth="1" min="7" max="7"/>
    <col width="10" customWidth="1" min="8" max="8"/>
    <col width="12" customWidth="1" min="9" max="9"/>
    <col width="14" customWidth="1" min="10" max="10"/>
    <col width="24" customWidth="1" min="11" max="11"/>
  </cols>
  <sheetData>
    <row r="1">
      <c r="A1" s="13" t="inlineStr">
        <is>
          <t>리밸런싱 실행 히스토리 (체결 로그)</t>
        </is>
      </c>
    </row>
    <row r="2">
      <c r="A2" s="17" t="inlineStr">
        <is>
          <t>실제로 매수/매도를 체결한 후 한 줄씩 기록하세요. 계좌별칭·ETF명은 계좌설정을 참조해 자동 표시됩니다.</t>
        </is>
      </c>
    </row>
    <row r="4">
      <c r="A4" s="9" t="inlineStr">
        <is>
          <t>날짜</t>
        </is>
      </c>
      <c r="B4" s="9" t="inlineStr">
        <is>
          <t>분기</t>
        </is>
      </c>
      <c r="C4" s="9" t="inlineStr">
        <is>
          <t>계좌ID</t>
        </is>
      </c>
      <c r="D4" s="9" t="inlineStr">
        <is>
          <t>계좌별칭</t>
        </is>
      </c>
      <c r="E4" s="9" t="inlineStr">
        <is>
          <t>티커</t>
        </is>
      </c>
      <c r="F4" s="9" t="inlineStr">
        <is>
          <t>ETF명</t>
        </is>
      </c>
      <c r="G4" s="9" t="inlineStr">
        <is>
          <t>액션</t>
        </is>
      </c>
      <c r="H4" s="9" t="inlineStr">
        <is>
          <t>수량</t>
        </is>
      </c>
      <c r="I4" s="9" t="inlineStr">
        <is>
          <t>체결단가</t>
        </is>
      </c>
      <c r="J4" s="9" t="inlineStr">
        <is>
          <t>거래금액</t>
        </is>
      </c>
      <c r="K4" s="9" t="inlineStr">
        <is>
          <t>메모</t>
        </is>
      </c>
    </row>
    <row r="5">
      <c r="A5" s="24" t="inlineStr">
        <is>
          <t>2026-07-04</t>
        </is>
      </c>
      <c r="B5" s="10">
        <f>IF(A5="","",YEAR(A5)&amp;"Q"&amp;ROUNDUP(MONTH(A5)/3,0))</f>
        <v/>
      </c>
      <c r="C5" s="10" t="inlineStr">
        <is>
          <t>A1</t>
        </is>
      </c>
      <c r="D5" s="10">
        <f>IF(C5="","",VLOOKUP(C5,계좌설정!$A:$C,3,FALSE))</f>
        <v/>
      </c>
      <c r="E5" s="10" t="inlineStr">
        <is>
          <t>379800</t>
        </is>
      </c>
      <c r="F5" s="10">
        <f>IF(E5="","",VLOOKUP(E5,계좌설정!$E:$F,2,FALSE))</f>
        <v/>
      </c>
      <c r="G5" s="10" t="inlineStr">
        <is>
          <t>매수</t>
        </is>
      </c>
      <c r="H5" s="10" t="n">
        <v>5</v>
      </c>
      <c r="I5" s="25" t="n">
        <v>18500</v>
      </c>
      <c r="J5" s="11">
        <f>IF(OR(H5="",I5=""),"",H5*I5)</f>
        <v/>
      </c>
      <c r="K5" s="10" t="inlineStr">
        <is>
          <t>분기 리밸런싱 (예시 행 - 삭제 후 사용)</t>
        </is>
      </c>
    </row>
    <row r="6">
      <c r="A6" s="24" t="n"/>
      <c r="B6" s="10">
        <f>IF(A6="","",YEAR(A6)&amp;"Q"&amp;ROUNDUP(MONTH(A6)/3,0))</f>
        <v/>
      </c>
      <c r="C6" s="10" t="n"/>
      <c r="D6" s="10">
        <f>IF(C6="","",VLOOKUP(C6,계좌설정!$A:$C,3,FALSE))</f>
        <v/>
      </c>
      <c r="E6" s="10" t="n"/>
      <c r="F6" s="10">
        <f>IF(E6="","",VLOOKUP(E6,계좌설정!$E:$F,2,FALSE))</f>
        <v/>
      </c>
      <c r="G6" s="10" t="n"/>
      <c r="H6" s="10" t="n"/>
      <c r="I6" s="25" t="n"/>
      <c r="J6" s="11">
        <f>IF(OR(H6="",I6=""),"",H6*I6)</f>
        <v/>
      </c>
      <c r="K6" s="10" t="n"/>
    </row>
    <row r="7">
      <c r="A7" s="24" t="n"/>
      <c r="B7" s="10">
        <f>IF(A7="","",YEAR(A7)&amp;"Q"&amp;ROUNDUP(MONTH(A7)/3,0))</f>
        <v/>
      </c>
      <c r="C7" s="10" t="n"/>
      <c r="D7" s="10">
        <f>IF(C7="","",VLOOKUP(C7,계좌설정!$A:$C,3,FALSE))</f>
        <v/>
      </c>
      <c r="E7" s="10" t="n"/>
      <c r="F7" s="10">
        <f>IF(E7="","",VLOOKUP(E7,계좌설정!$E:$F,2,FALSE))</f>
        <v/>
      </c>
      <c r="G7" s="10" t="n"/>
      <c r="H7" s="10" t="n"/>
      <c r="I7" s="25" t="n"/>
      <c r="J7" s="11">
        <f>IF(OR(H7="",I7=""),"",H7*I7)</f>
        <v/>
      </c>
      <c r="K7" s="10" t="n"/>
    </row>
    <row r="8">
      <c r="A8" s="24" t="n"/>
      <c r="B8" s="10">
        <f>IF(A8="","",YEAR(A8)&amp;"Q"&amp;ROUNDUP(MONTH(A8)/3,0))</f>
        <v/>
      </c>
      <c r="C8" s="10" t="n"/>
      <c r="D8" s="10">
        <f>IF(C8="","",VLOOKUP(C8,계좌설정!$A:$C,3,FALSE))</f>
        <v/>
      </c>
      <c r="E8" s="10" t="n"/>
      <c r="F8" s="10">
        <f>IF(E8="","",VLOOKUP(E8,계좌설정!$E:$F,2,FALSE))</f>
        <v/>
      </c>
      <c r="G8" s="10" t="n"/>
      <c r="H8" s="10" t="n"/>
      <c r="I8" s="25" t="n"/>
      <c r="J8" s="11">
        <f>IF(OR(H8="",I8=""),"",H8*I8)</f>
        <v/>
      </c>
      <c r="K8" s="10" t="n"/>
    </row>
    <row r="9">
      <c r="A9" s="24" t="n"/>
      <c r="B9" s="10">
        <f>IF(A9="","",YEAR(A9)&amp;"Q"&amp;ROUNDUP(MONTH(A9)/3,0))</f>
        <v/>
      </c>
      <c r="C9" s="10" t="n"/>
      <c r="D9" s="10">
        <f>IF(C9="","",VLOOKUP(C9,계좌설정!$A:$C,3,FALSE))</f>
        <v/>
      </c>
      <c r="E9" s="10" t="n"/>
      <c r="F9" s="10">
        <f>IF(E9="","",VLOOKUP(E9,계좌설정!$E:$F,2,FALSE))</f>
        <v/>
      </c>
      <c r="G9" s="10" t="n"/>
      <c r="H9" s="10" t="n"/>
      <c r="I9" s="25" t="n"/>
      <c r="J9" s="11">
        <f>IF(OR(H9="",I9=""),"",H9*I9)</f>
        <v/>
      </c>
      <c r="K9" s="10" t="n"/>
    </row>
    <row r="10">
      <c r="A10" s="24" t="n"/>
      <c r="B10" s="10">
        <f>IF(A10="","",YEAR(A10)&amp;"Q"&amp;ROUNDUP(MONTH(A10)/3,0))</f>
        <v/>
      </c>
      <c r="C10" s="10" t="n"/>
      <c r="D10" s="10">
        <f>IF(C10="","",VLOOKUP(C10,계좌설정!$A:$C,3,FALSE))</f>
        <v/>
      </c>
      <c r="E10" s="10" t="n"/>
      <c r="F10" s="10">
        <f>IF(E10="","",VLOOKUP(E10,계좌설정!$E:$F,2,FALSE))</f>
        <v/>
      </c>
      <c r="G10" s="10" t="n"/>
      <c r="H10" s="10" t="n"/>
      <c r="I10" s="25" t="n"/>
      <c r="J10" s="11">
        <f>IF(OR(H10="",I10=""),"",H10*I10)</f>
        <v/>
      </c>
      <c r="K10" s="10" t="n"/>
    </row>
    <row r="11">
      <c r="A11" s="24" t="n"/>
      <c r="B11" s="10">
        <f>IF(A11="","",YEAR(A11)&amp;"Q"&amp;ROUNDUP(MONTH(A11)/3,0))</f>
        <v/>
      </c>
      <c r="C11" s="10" t="n"/>
      <c r="D11" s="10">
        <f>IF(C11="","",VLOOKUP(C11,계좌설정!$A:$C,3,FALSE))</f>
        <v/>
      </c>
      <c r="E11" s="10" t="n"/>
      <c r="F11" s="10">
        <f>IF(E11="","",VLOOKUP(E11,계좌설정!$E:$F,2,FALSE))</f>
        <v/>
      </c>
      <c r="G11" s="10" t="n"/>
      <c r="H11" s="10" t="n"/>
      <c r="I11" s="25" t="n"/>
      <c r="J11" s="11">
        <f>IF(OR(H11="",I11=""),"",H11*I11)</f>
        <v/>
      </c>
      <c r="K11" s="10" t="n"/>
    </row>
    <row r="12">
      <c r="A12" s="24" t="n"/>
      <c r="B12" s="10">
        <f>IF(A12="","",YEAR(A12)&amp;"Q"&amp;ROUNDUP(MONTH(A12)/3,0))</f>
        <v/>
      </c>
      <c r="C12" s="10" t="n"/>
      <c r="D12" s="10">
        <f>IF(C12="","",VLOOKUP(C12,계좌설정!$A:$C,3,FALSE))</f>
        <v/>
      </c>
      <c r="E12" s="10" t="n"/>
      <c r="F12" s="10">
        <f>IF(E12="","",VLOOKUP(E12,계좌설정!$E:$F,2,FALSE))</f>
        <v/>
      </c>
      <c r="G12" s="10" t="n"/>
      <c r="H12" s="10" t="n"/>
      <c r="I12" s="25" t="n"/>
      <c r="J12" s="11">
        <f>IF(OR(H12="",I12=""),"",H12*I12)</f>
        <v/>
      </c>
      <c r="K12" s="10" t="n"/>
    </row>
    <row r="13">
      <c r="A13" s="24" t="n"/>
      <c r="B13" s="10">
        <f>IF(A13="","",YEAR(A13)&amp;"Q"&amp;ROUNDUP(MONTH(A13)/3,0))</f>
        <v/>
      </c>
      <c r="C13" s="10" t="n"/>
      <c r="D13" s="10">
        <f>IF(C13="","",VLOOKUP(C13,계좌설정!$A:$C,3,FALSE))</f>
        <v/>
      </c>
      <c r="E13" s="10" t="n"/>
      <c r="F13" s="10">
        <f>IF(E13="","",VLOOKUP(E13,계좌설정!$E:$F,2,FALSE))</f>
        <v/>
      </c>
      <c r="G13" s="10" t="n"/>
      <c r="H13" s="10" t="n"/>
      <c r="I13" s="25" t="n"/>
      <c r="J13" s="11">
        <f>IF(OR(H13="",I13=""),"",H13*I13)</f>
        <v/>
      </c>
      <c r="K13" s="10" t="n"/>
    </row>
    <row r="14">
      <c r="A14" s="24" t="n"/>
      <c r="B14" s="10">
        <f>IF(A14="","",YEAR(A14)&amp;"Q"&amp;ROUNDUP(MONTH(A14)/3,0))</f>
        <v/>
      </c>
      <c r="C14" s="10" t="n"/>
      <c r="D14" s="10">
        <f>IF(C14="","",VLOOKUP(C14,계좌설정!$A:$C,3,FALSE))</f>
        <v/>
      </c>
      <c r="E14" s="10" t="n"/>
      <c r="F14" s="10">
        <f>IF(E14="","",VLOOKUP(E14,계좌설정!$E:$F,2,FALSE))</f>
        <v/>
      </c>
      <c r="G14" s="10" t="n"/>
      <c r="H14" s="10" t="n"/>
      <c r="I14" s="25" t="n"/>
      <c r="J14" s="11">
        <f>IF(OR(H14="",I14=""),"",H14*I14)</f>
        <v/>
      </c>
      <c r="K14" s="10" t="n"/>
    </row>
    <row r="15">
      <c r="A15" s="24" t="n"/>
      <c r="B15" s="10">
        <f>IF(A15="","",YEAR(A15)&amp;"Q"&amp;ROUNDUP(MONTH(A15)/3,0))</f>
        <v/>
      </c>
      <c r="C15" s="10" t="n"/>
      <c r="D15" s="10">
        <f>IF(C15="","",VLOOKUP(C15,계좌설정!$A:$C,3,FALSE))</f>
        <v/>
      </c>
      <c r="E15" s="10" t="n"/>
      <c r="F15" s="10">
        <f>IF(E15="","",VLOOKUP(E15,계좌설정!$E:$F,2,FALSE))</f>
        <v/>
      </c>
      <c r="G15" s="10" t="n"/>
      <c r="H15" s="10" t="n"/>
      <c r="I15" s="25" t="n"/>
      <c r="J15" s="11">
        <f>IF(OR(H15="",I15=""),"",H15*I15)</f>
        <v/>
      </c>
      <c r="K15" s="10" t="n"/>
    </row>
    <row r="16">
      <c r="A16" s="24" t="n"/>
      <c r="B16" s="10">
        <f>IF(A16="","",YEAR(A16)&amp;"Q"&amp;ROUNDUP(MONTH(A16)/3,0))</f>
        <v/>
      </c>
      <c r="C16" s="10" t="n"/>
      <c r="D16" s="10">
        <f>IF(C16="","",VLOOKUP(C16,계좌설정!$A:$C,3,FALSE))</f>
        <v/>
      </c>
      <c r="E16" s="10" t="n"/>
      <c r="F16" s="10">
        <f>IF(E16="","",VLOOKUP(E16,계좌설정!$E:$F,2,FALSE))</f>
        <v/>
      </c>
      <c r="G16" s="10" t="n"/>
      <c r="H16" s="10" t="n"/>
      <c r="I16" s="25" t="n"/>
      <c r="J16" s="11">
        <f>IF(OR(H16="",I16=""),"",H16*I16)</f>
        <v/>
      </c>
      <c r="K16" s="10" t="n"/>
    </row>
    <row r="17">
      <c r="A17" s="24" t="n"/>
      <c r="B17" s="10">
        <f>IF(A17="","",YEAR(A17)&amp;"Q"&amp;ROUNDUP(MONTH(A17)/3,0))</f>
        <v/>
      </c>
      <c r="C17" s="10" t="n"/>
      <c r="D17" s="10">
        <f>IF(C17="","",VLOOKUP(C17,계좌설정!$A:$C,3,FALSE))</f>
        <v/>
      </c>
      <c r="E17" s="10" t="n"/>
      <c r="F17" s="10">
        <f>IF(E17="","",VLOOKUP(E17,계좌설정!$E:$F,2,FALSE))</f>
        <v/>
      </c>
      <c r="G17" s="10" t="n"/>
      <c r="H17" s="10" t="n"/>
      <c r="I17" s="25" t="n"/>
      <c r="J17" s="11">
        <f>IF(OR(H17="",I17=""),"",H17*I17)</f>
        <v/>
      </c>
      <c r="K17" s="10" t="n"/>
    </row>
    <row r="18">
      <c r="A18" s="24" t="n"/>
      <c r="B18" s="10">
        <f>IF(A18="","",YEAR(A18)&amp;"Q"&amp;ROUNDUP(MONTH(A18)/3,0))</f>
        <v/>
      </c>
      <c r="C18" s="10" t="n"/>
      <c r="D18" s="10">
        <f>IF(C18="","",VLOOKUP(C18,계좌설정!$A:$C,3,FALSE))</f>
        <v/>
      </c>
      <c r="E18" s="10" t="n"/>
      <c r="F18" s="10">
        <f>IF(E18="","",VLOOKUP(E18,계좌설정!$E:$F,2,FALSE))</f>
        <v/>
      </c>
      <c r="G18" s="10" t="n"/>
      <c r="H18" s="10" t="n"/>
      <c r="I18" s="25" t="n"/>
      <c r="J18" s="11">
        <f>IF(OR(H18="",I18=""),"",H18*I18)</f>
        <v/>
      </c>
      <c r="K18" s="10" t="n"/>
    </row>
    <row r="19">
      <c r="A19" s="24" t="n"/>
      <c r="B19" s="10">
        <f>IF(A19="","",YEAR(A19)&amp;"Q"&amp;ROUNDUP(MONTH(A19)/3,0))</f>
        <v/>
      </c>
      <c r="C19" s="10" t="n"/>
      <c r="D19" s="10">
        <f>IF(C19="","",VLOOKUP(C19,계좌설정!$A:$C,3,FALSE))</f>
        <v/>
      </c>
      <c r="E19" s="10" t="n"/>
      <c r="F19" s="10">
        <f>IF(E19="","",VLOOKUP(E19,계좌설정!$E:$F,2,FALSE))</f>
        <v/>
      </c>
      <c r="G19" s="10" t="n"/>
      <c r="H19" s="10" t="n"/>
      <c r="I19" s="25" t="n"/>
      <c r="J19" s="11">
        <f>IF(OR(H19="",I19=""),"",H19*I19)</f>
        <v/>
      </c>
      <c r="K19" s="10" t="n"/>
    </row>
    <row r="20">
      <c r="A20" s="24" t="n"/>
      <c r="B20" s="10">
        <f>IF(A20="","",YEAR(A20)&amp;"Q"&amp;ROUNDUP(MONTH(A20)/3,0))</f>
        <v/>
      </c>
      <c r="C20" s="10" t="n"/>
      <c r="D20" s="10">
        <f>IF(C20="","",VLOOKUP(C20,계좌설정!$A:$C,3,FALSE))</f>
        <v/>
      </c>
      <c r="E20" s="10" t="n"/>
      <c r="F20" s="10">
        <f>IF(E20="","",VLOOKUP(E20,계좌설정!$E:$F,2,FALSE))</f>
        <v/>
      </c>
      <c r="G20" s="10" t="n"/>
      <c r="H20" s="10" t="n"/>
      <c r="I20" s="25" t="n"/>
      <c r="J20" s="11">
        <f>IF(OR(H20="",I20=""),"",H20*I20)</f>
        <v/>
      </c>
      <c r="K20" s="10" t="n"/>
    </row>
    <row r="21">
      <c r="A21" s="24" t="n"/>
      <c r="B21" s="10">
        <f>IF(A21="","",YEAR(A21)&amp;"Q"&amp;ROUNDUP(MONTH(A21)/3,0))</f>
        <v/>
      </c>
      <c r="C21" s="10" t="n"/>
      <c r="D21" s="10">
        <f>IF(C21="","",VLOOKUP(C21,계좌설정!$A:$C,3,FALSE))</f>
        <v/>
      </c>
      <c r="E21" s="10" t="n"/>
      <c r="F21" s="10">
        <f>IF(E21="","",VLOOKUP(E21,계좌설정!$E:$F,2,FALSE))</f>
        <v/>
      </c>
      <c r="G21" s="10" t="n"/>
      <c r="H21" s="10" t="n"/>
      <c r="I21" s="25" t="n"/>
      <c r="J21" s="11">
        <f>IF(OR(H21="",I21=""),"",H21*I21)</f>
        <v/>
      </c>
      <c r="K21" s="10" t="n"/>
    </row>
    <row r="22">
      <c r="A22" s="24" t="n"/>
      <c r="B22" s="10">
        <f>IF(A22="","",YEAR(A22)&amp;"Q"&amp;ROUNDUP(MONTH(A22)/3,0))</f>
        <v/>
      </c>
      <c r="C22" s="10" t="n"/>
      <c r="D22" s="10">
        <f>IF(C22="","",VLOOKUP(C22,계좌설정!$A:$C,3,FALSE))</f>
        <v/>
      </c>
      <c r="E22" s="10" t="n"/>
      <c r="F22" s="10">
        <f>IF(E22="","",VLOOKUP(E22,계좌설정!$E:$F,2,FALSE))</f>
        <v/>
      </c>
      <c r="G22" s="10" t="n"/>
      <c r="H22" s="10" t="n"/>
      <c r="I22" s="25" t="n"/>
      <c r="J22" s="11">
        <f>IF(OR(H22="",I22=""),"",H22*I22)</f>
        <v/>
      </c>
      <c r="K22" s="10" t="n"/>
    </row>
    <row r="23">
      <c r="A23" s="24" t="n"/>
      <c r="B23" s="10">
        <f>IF(A23="","",YEAR(A23)&amp;"Q"&amp;ROUNDUP(MONTH(A23)/3,0))</f>
        <v/>
      </c>
      <c r="C23" s="10" t="n"/>
      <c r="D23" s="10">
        <f>IF(C23="","",VLOOKUP(C23,계좌설정!$A:$C,3,FALSE))</f>
        <v/>
      </c>
      <c r="E23" s="10" t="n"/>
      <c r="F23" s="10">
        <f>IF(E23="","",VLOOKUP(E23,계좌설정!$E:$F,2,FALSE))</f>
        <v/>
      </c>
      <c r="G23" s="10" t="n"/>
      <c r="H23" s="10" t="n"/>
      <c r="I23" s="25" t="n"/>
      <c r="J23" s="11">
        <f>IF(OR(H23="",I23=""),"",H23*I23)</f>
        <v/>
      </c>
      <c r="K23" s="10" t="n"/>
    </row>
    <row r="24">
      <c r="A24" s="24" t="n"/>
      <c r="B24" s="10">
        <f>IF(A24="","",YEAR(A24)&amp;"Q"&amp;ROUNDUP(MONTH(A24)/3,0))</f>
        <v/>
      </c>
      <c r="C24" s="10" t="n"/>
      <c r="D24" s="10">
        <f>IF(C24="","",VLOOKUP(C24,계좌설정!$A:$C,3,FALSE))</f>
        <v/>
      </c>
      <c r="E24" s="10" t="n"/>
      <c r="F24" s="10">
        <f>IF(E24="","",VLOOKUP(E24,계좌설정!$E:$F,2,FALSE))</f>
        <v/>
      </c>
      <c r="G24" s="10" t="n"/>
      <c r="H24" s="10" t="n"/>
      <c r="I24" s="25" t="n"/>
      <c r="J24" s="11">
        <f>IF(OR(H24="",I24=""),"",H24*I24)</f>
        <v/>
      </c>
      <c r="K24" s="10" t="n"/>
    </row>
    <row r="25">
      <c r="A25" s="24" t="n"/>
      <c r="B25" s="10">
        <f>IF(A25="","",YEAR(A25)&amp;"Q"&amp;ROUNDUP(MONTH(A25)/3,0))</f>
        <v/>
      </c>
      <c r="C25" s="10" t="n"/>
      <c r="D25" s="10">
        <f>IF(C25="","",VLOOKUP(C25,계좌설정!$A:$C,3,FALSE))</f>
        <v/>
      </c>
      <c r="E25" s="10" t="n"/>
      <c r="F25" s="10">
        <f>IF(E25="","",VLOOKUP(E25,계좌설정!$E:$F,2,FALSE))</f>
        <v/>
      </c>
      <c r="G25" s="10" t="n"/>
      <c r="H25" s="10" t="n"/>
      <c r="I25" s="25" t="n"/>
      <c r="J25" s="11">
        <f>IF(OR(H25="",I25=""),"",H25*I25)</f>
        <v/>
      </c>
      <c r="K25" s="10" t="n"/>
    </row>
    <row r="26">
      <c r="A26" s="24" t="n"/>
      <c r="B26" s="10">
        <f>IF(A26="","",YEAR(A26)&amp;"Q"&amp;ROUNDUP(MONTH(A26)/3,0))</f>
        <v/>
      </c>
      <c r="C26" s="10" t="n"/>
      <c r="D26" s="10">
        <f>IF(C26="","",VLOOKUP(C26,계좌설정!$A:$C,3,FALSE))</f>
        <v/>
      </c>
      <c r="E26" s="10" t="n"/>
      <c r="F26" s="10">
        <f>IF(E26="","",VLOOKUP(E26,계좌설정!$E:$F,2,FALSE))</f>
        <v/>
      </c>
      <c r="G26" s="10" t="n"/>
      <c r="H26" s="10" t="n"/>
      <c r="I26" s="25" t="n"/>
      <c r="J26" s="11">
        <f>IF(OR(H26="",I26=""),"",H26*I26)</f>
        <v/>
      </c>
      <c r="K26" s="10" t="n"/>
    </row>
    <row r="27">
      <c r="A27" s="24" t="n"/>
      <c r="B27" s="10">
        <f>IF(A27="","",YEAR(A27)&amp;"Q"&amp;ROUNDUP(MONTH(A27)/3,0))</f>
        <v/>
      </c>
      <c r="C27" s="10" t="n"/>
      <c r="D27" s="10">
        <f>IF(C27="","",VLOOKUP(C27,계좌설정!$A:$C,3,FALSE))</f>
        <v/>
      </c>
      <c r="E27" s="10" t="n"/>
      <c r="F27" s="10">
        <f>IF(E27="","",VLOOKUP(E27,계좌설정!$E:$F,2,FALSE))</f>
        <v/>
      </c>
      <c r="G27" s="10" t="n"/>
      <c r="H27" s="10" t="n"/>
      <c r="I27" s="25" t="n"/>
      <c r="J27" s="11">
        <f>IF(OR(H27="",I27=""),"",H27*I27)</f>
        <v/>
      </c>
      <c r="K27" s="10" t="n"/>
    </row>
    <row r="28">
      <c r="A28" s="24" t="n"/>
      <c r="B28" s="10">
        <f>IF(A28="","",YEAR(A28)&amp;"Q"&amp;ROUNDUP(MONTH(A28)/3,0))</f>
        <v/>
      </c>
      <c r="C28" s="10" t="n"/>
      <c r="D28" s="10">
        <f>IF(C28="","",VLOOKUP(C28,계좌설정!$A:$C,3,FALSE))</f>
        <v/>
      </c>
      <c r="E28" s="10" t="n"/>
      <c r="F28" s="10">
        <f>IF(E28="","",VLOOKUP(E28,계좌설정!$E:$F,2,FALSE))</f>
        <v/>
      </c>
      <c r="G28" s="10" t="n"/>
      <c r="H28" s="10" t="n"/>
      <c r="I28" s="25" t="n"/>
      <c r="J28" s="11">
        <f>IF(OR(H28="",I28=""),"",H28*I28)</f>
        <v/>
      </c>
      <c r="K28" s="10" t="n"/>
    </row>
    <row r="29">
      <c r="A29" s="24" t="n"/>
      <c r="B29" s="10">
        <f>IF(A29="","",YEAR(A29)&amp;"Q"&amp;ROUNDUP(MONTH(A29)/3,0))</f>
        <v/>
      </c>
      <c r="C29" s="10" t="n"/>
      <c r="D29" s="10">
        <f>IF(C29="","",VLOOKUP(C29,계좌설정!$A:$C,3,FALSE))</f>
        <v/>
      </c>
      <c r="E29" s="10" t="n"/>
      <c r="F29" s="10">
        <f>IF(E29="","",VLOOKUP(E29,계좌설정!$E:$F,2,FALSE))</f>
        <v/>
      </c>
      <c r="G29" s="10" t="n"/>
      <c r="H29" s="10" t="n"/>
      <c r="I29" s="25" t="n"/>
      <c r="J29" s="11">
        <f>IF(OR(H29="",I29=""),"",H29*I29)</f>
        <v/>
      </c>
      <c r="K29" s="10" t="n"/>
    </row>
    <row r="30">
      <c r="A30" s="24" t="n"/>
      <c r="B30" s="10">
        <f>IF(A30="","",YEAR(A30)&amp;"Q"&amp;ROUNDUP(MONTH(A30)/3,0))</f>
        <v/>
      </c>
      <c r="C30" s="10" t="n"/>
      <c r="D30" s="10">
        <f>IF(C30="","",VLOOKUP(C30,계좌설정!$A:$C,3,FALSE))</f>
        <v/>
      </c>
      <c r="E30" s="10" t="n"/>
      <c r="F30" s="10">
        <f>IF(E30="","",VLOOKUP(E30,계좌설정!$E:$F,2,FALSE))</f>
        <v/>
      </c>
      <c r="G30" s="10" t="n"/>
      <c r="H30" s="10" t="n"/>
      <c r="I30" s="25" t="n"/>
      <c r="J30" s="11">
        <f>IF(OR(H30="",I30=""),"",H30*I30)</f>
        <v/>
      </c>
      <c r="K30" s="10" t="n"/>
    </row>
    <row r="31">
      <c r="A31" s="24" t="n"/>
      <c r="B31" s="10">
        <f>IF(A31="","",YEAR(A31)&amp;"Q"&amp;ROUNDUP(MONTH(A31)/3,0))</f>
        <v/>
      </c>
      <c r="C31" s="10" t="n"/>
      <c r="D31" s="10">
        <f>IF(C31="","",VLOOKUP(C31,계좌설정!$A:$C,3,FALSE))</f>
        <v/>
      </c>
      <c r="E31" s="10" t="n"/>
      <c r="F31" s="10">
        <f>IF(E31="","",VLOOKUP(E31,계좌설정!$E:$F,2,FALSE))</f>
        <v/>
      </c>
      <c r="G31" s="10" t="n"/>
      <c r="H31" s="10" t="n"/>
      <c r="I31" s="25" t="n"/>
      <c r="J31" s="11">
        <f>IF(OR(H31="",I31=""),"",H31*I31)</f>
        <v/>
      </c>
      <c r="K31" s="10" t="n"/>
    </row>
    <row r="32">
      <c r="A32" s="24" t="n"/>
      <c r="B32" s="10">
        <f>IF(A32="","",YEAR(A32)&amp;"Q"&amp;ROUNDUP(MONTH(A32)/3,0))</f>
        <v/>
      </c>
      <c r="C32" s="10" t="n"/>
      <c r="D32" s="10">
        <f>IF(C32="","",VLOOKUP(C32,계좌설정!$A:$C,3,FALSE))</f>
        <v/>
      </c>
      <c r="E32" s="10" t="n"/>
      <c r="F32" s="10">
        <f>IF(E32="","",VLOOKUP(E32,계좌설정!$E:$F,2,FALSE))</f>
        <v/>
      </c>
      <c r="G32" s="10" t="n"/>
      <c r="H32" s="10" t="n"/>
      <c r="I32" s="25" t="n"/>
      <c r="J32" s="11">
        <f>IF(OR(H32="",I32=""),"",H32*I32)</f>
        <v/>
      </c>
      <c r="K32" s="10" t="n"/>
    </row>
    <row r="33">
      <c r="A33" s="24" t="n"/>
      <c r="B33" s="10">
        <f>IF(A33="","",YEAR(A33)&amp;"Q"&amp;ROUNDUP(MONTH(A33)/3,0))</f>
        <v/>
      </c>
      <c r="C33" s="10" t="n"/>
      <c r="D33" s="10">
        <f>IF(C33="","",VLOOKUP(C33,계좌설정!$A:$C,3,FALSE))</f>
        <v/>
      </c>
      <c r="E33" s="10" t="n"/>
      <c r="F33" s="10">
        <f>IF(E33="","",VLOOKUP(E33,계좌설정!$E:$F,2,FALSE))</f>
        <v/>
      </c>
      <c r="G33" s="10" t="n"/>
      <c r="H33" s="10" t="n"/>
      <c r="I33" s="25" t="n"/>
      <c r="J33" s="11">
        <f>IF(OR(H33="",I33=""),"",H33*I33)</f>
        <v/>
      </c>
      <c r="K33" s="10" t="n"/>
    </row>
    <row r="34">
      <c r="A34" s="24" t="n"/>
      <c r="B34" s="10">
        <f>IF(A34="","",YEAR(A34)&amp;"Q"&amp;ROUNDUP(MONTH(A34)/3,0))</f>
        <v/>
      </c>
      <c r="C34" s="10" t="n"/>
      <c r="D34" s="10">
        <f>IF(C34="","",VLOOKUP(C34,계좌설정!$A:$C,3,FALSE))</f>
        <v/>
      </c>
      <c r="E34" s="10" t="n"/>
      <c r="F34" s="10">
        <f>IF(E34="","",VLOOKUP(E34,계좌설정!$E:$F,2,FALSE))</f>
        <v/>
      </c>
      <c r="G34" s="10" t="n"/>
      <c r="H34" s="10" t="n"/>
      <c r="I34" s="25" t="n"/>
      <c r="J34" s="11">
        <f>IF(OR(H34="",I34=""),"",H34*I34)</f>
        <v/>
      </c>
      <c r="K34" s="10" t="n"/>
    </row>
    <row r="35">
      <c r="A35" s="24" t="n"/>
      <c r="B35" s="10">
        <f>IF(A35="","",YEAR(A35)&amp;"Q"&amp;ROUNDUP(MONTH(A35)/3,0))</f>
        <v/>
      </c>
      <c r="C35" s="10" t="n"/>
      <c r="D35" s="10">
        <f>IF(C35="","",VLOOKUP(C35,계좌설정!$A:$C,3,FALSE))</f>
        <v/>
      </c>
      <c r="E35" s="10" t="n"/>
      <c r="F35" s="10">
        <f>IF(E35="","",VLOOKUP(E35,계좌설정!$E:$F,2,FALSE))</f>
        <v/>
      </c>
      <c r="G35" s="10" t="n"/>
      <c r="H35" s="10" t="n"/>
      <c r="I35" s="25" t="n"/>
      <c r="J35" s="11">
        <f>IF(OR(H35="",I35=""),"",H35*I35)</f>
        <v/>
      </c>
      <c r="K35" s="10" t="n"/>
    </row>
    <row r="36">
      <c r="A36" s="24" t="n"/>
      <c r="B36" s="10">
        <f>IF(A36="","",YEAR(A36)&amp;"Q"&amp;ROUNDUP(MONTH(A36)/3,0))</f>
        <v/>
      </c>
      <c r="C36" s="10" t="n"/>
      <c r="D36" s="10">
        <f>IF(C36="","",VLOOKUP(C36,계좌설정!$A:$C,3,FALSE))</f>
        <v/>
      </c>
      <c r="E36" s="10" t="n"/>
      <c r="F36" s="10">
        <f>IF(E36="","",VLOOKUP(E36,계좌설정!$E:$F,2,FALSE))</f>
        <v/>
      </c>
      <c r="G36" s="10" t="n"/>
      <c r="H36" s="10" t="n"/>
      <c r="I36" s="25" t="n"/>
      <c r="J36" s="11">
        <f>IF(OR(H36="",I36=""),"",H36*I36)</f>
        <v/>
      </c>
      <c r="K36" s="10" t="n"/>
    </row>
    <row r="37">
      <c r="A37" s="24" t="n"/>
      <c r="B37" s="10">
        <f>IF(A37="","",YEAR(A37)&amp;"Q"&amp;ROUNDUP(MONTH(A37)/3,0))</f>
        <v/>
      </c>
      <c r="C37" s="10" t="n"/>
      <c r="D37" s="10">
        <f>IF(C37="","",VLOOKUP(C37,계좌설정!$A:$C,3,FALSE))</f>
        <v/>
      </c>
      <c r="E37" s="10" t="n"/>
      <c r="F37" s="10">
        <f>IF(E37="","",VLOOKUP(E37,계좌설정!$E:$F,2,FALSE))</f>
        <v/>
      </c>
      <c r="G37" s="10" t="n"/>
      <c r="H37" s="10" t="n"/>
      <c r="I37" s="25" t="n"/>
      <c r="J37" s="11">
        <f>IF(OR(H37="",I37=""),"",H37*I37)</f>
        <v/>
      </c>
      <c r="K37" s="10" t="n"/>
    </row>
    <row r="38">
      <c r="A38" s="24" t="n"/>
      <c r="B38" s="10">
        <f>IF(A38="","",YEAR(A38)&amp;"Q"&amp;ROUNDUP(MONTH(A38)/3,0))</f>
        <v/>
      </c>
      <c r="C38" s="10" t="n"/>
      <c r="D38" s="10">
        <f>IF(C38="","",VLOOKUP(C38,계좌설정!$A:$C,3,FALSE))</f>
        <v/>
      </c>
      <c r="E38" s="10" t="n"/>
      <c r="F38" s="10">
        <f>IF(E38="","",VLOOKUP(E38,계좌설정!$E:$F,2,FALSE))</f>
        <v/>
      </c>
      <c r="G38" s="10" t="n"/>
      <c r="H38" s="10" t="n"/>
      <c r="I38" s="25" t="n"/>
      <c r="J38" s="11">
        <f>IF(OR(H38="",I38=""),"",H38*I38)</f>
        <v/>
      </c>
      <c r="K38" s="10" t="n"/>
    </row>
    <row r="39">
      <c r="A39" s="24" t="n"/>
      <c r="B39" s="10">
        <f>IF(A39="","",YEAR(A39)&amp;"Q"&amp;ROUNDUP(MONTH(A39)/3,0))</f>
        <v/>
      </c>
      <c r="C39" s="10" t="n"/>
      <c r="D39" s="10">
        <f>IF(C39="","",VLOOKUP(C39,계좌설정!$A:$C,3,FALSE))</f>
        <v/>
      </c>
      <c r="E39" s="10" t="n"/>
      <c r="F39" s="10">
        <f>IF(E39="","",VLOOKUP(E39,계좌설정!$E:$F,2,FALSE))</f>
        <v/>
      </c>
      <c r="G39" s="10" t="n"/>
      <c r="H39" s="10" t="n"/>
      <c r="I39" s="25" t="n"/>
      <c r="J39" s="11">
        <f>IF(OR(H39="",I39=""),"",H39*I39)</f>
        <v/>
      </c>
      <c r="K39" s="10" t="n"/>
    </row>
    <row r="40">
      <c r="A40" s="24" t="n"/>
      <c r="B40" s="10">
        <f>IF(A40="","",YEAR(A40)&amp;"Q"&amp;ROUNDUP(MONTH(A40)/3,0))</f>
        <v/>
      </c>
      <c r="C40" s="10" t="n"/>
      <c r="D40" s="10">
        <f>IF(C40="","",VLOOKUP(C40,계좌설정!$A:$C,3,FALSE))</f>
        <v/>
      </c>
      <c r="E40" s="10" t="n"/>
      <c r="F40" s="10">
        <f>IF(E40="","",VLOOKUP(E40,계좌설정!$E:$F,2,FALSE))</f>
        <v/>
      </c>
      <c r="G40" s="10" t="n"/>
      <c r="H40" s="10" t="n"/>
      <c r="I40" s="25" t="n"/>
      <c r="J40" s="11">
        <f>IF(OR(H40="",I40=""),"",H40*I40)</f>
        <v/>
      </c>
      <c r="K40" s="10" t="n"/>
    </row>
    <row r="41">
      <c r="A41" s="24" t="n"/>
      <c r="B41" s="10">
        <f>IF(A41="","",YEAR(A41)&amp;"Q"&amp;ROUNDUP(MONTH(A41)/3,0))</f>
        <v/>
      </c>
      <c r="C41" s="10" t="n"/>
      <c r="D41" s="10">
        <f>IF(C41="","",VLOOKUP(C41,계좌설정!$A:$C,3,FALSE))</f>
        <v/>
      </c>
      <c r="E41" s="10" t="n"/>
      <c r="F41" s="10">
        <f>IF(E41="","",VLOOKUP(E41,계좌설정!$E:$F,2,FALSE))</f>
        <v/>
      </c>
      <c r="G41" s="10" t="n"/>
      <c r="H41" s="10" t="n"/>
      <c r="I41" s="25" t="n"/>
      <c r="J41" s="11">
        <f>IF(OR(H41="",I41=""),"",H41*I41)</f>
        <v/>
      </c>
      <c r="K41" s="10" t="n"/>
    </row>
    <row r="42">
      <c r="A42" s="24" t="n"/>
      <c r="B42" s="10">
        <f>IF(A42="","",YEAR(A42)&amp;"Q"&amp;ROUNDUP(MONTH(A42)/3,0))</f>
        <v/>
      </c>
      <c r="C42" s="10" t="n"/>
      <c r="D42" s="10">
        <f>IF(C42="","",VLOOKUP(C42,계좌설정!$A:$C,3,FALSE))</f>
        <v/>
      </c>
      <c r="E42" s="10" t="n"/>
      <c r="F42" s="10">
        <f>IF(E42="","",VLOOKUP(E42,계좌설정!$E:$F,2,FALSE))</f>
        <v/>
      </c>
      <c r="G42" s="10" t="n"/>
      <c r="H42" s="10" t="n"/>
      <c r="I42" s="25" t="n"/>
      <c r="J42" s="11">
        <f>IF(OR(H42="",I42=""),"",H42*I42)</f>
        <v/>
      </c>
      <c r="K42" s="10" t="n"/>
    </row>
    <row r="43">
      <c r="A43" s="24" t="n"/>
      <c r="B43" s="10">
        <f>IF(A43="","",YEAR(A43)&amp;"Q"&amp;ROUNDUP(MONTH(A43)/3,0))</f>
        <v/>
      </c>
      <c r="C43" s="10" t="n"/>
      <c r="D43" s="10">
        <f>IF(C43="","",VLOOKUP(C43,계좌설정!$A:$C,3,FALSE))</f>
        <v/>
      </c>
      <c r="E43" s="10" t="n"/>
      <c r="F43" s="10">
        <f>IF(E43="","",VLOOKUP(E43,계좌설정!$E:$F,2,FALSE))</f>
        <v/>
      </c>
      <c r="G43" s="10" t="n"/>
      <c r="H43" s="10" t="n"/>
      <c r="I43" s="25" t="n"/>
      <c r="J43" s="11">
        <f>IF(OR(H43="",I43=""),"",H43*I43)</f>
        <v/>
      </c>
      <c r="K43" s="10" t="n"/>
    </row>
    <row r="44">
      <c r="A44" s="24" t="n"/>
      <c r="B44" s="10">
        <f>IF(A44="","",YEAR(A44)&amp;"Q"&amp;ROUNDUP(MONTH(A44)/3,0))</f>
        <v/>
      </c>
      <c r="C44" s="10" t="n"/>
      <c r="D44" s="10">
        <f>IF(C44="","",VLOOKUP(C44,계좌설정!$A:$C,3,FALSE))</f>
        <v/>
      </c>
      <c r="E44" s="10" t="n"/>
      <c r="F44" s="10">
        <f>IF(E44="","",VLOOKUP(E44,계좌설정!$E:$F,2,FALSE))</f>
        <v/>
      </c>
      <c r="G44" s="10" t="n"/>
      <c r="H44" s="10" t="n"/>
      <c r="I44" s="25" t="n"/>
      <c r="J44" s="11">
        <f>IF(OR(H44="",I44=""),"",H44*I44)</f>
        <v/>
      </c>
      <c r="K44" s="10" t="n"/>
    </row>
    <row r="45">
      <c r="A45" s="24" t="n"/>
      <c r="B45" s="10">
        <f>IF(A45="","",YEAR(A45)&amp;"Q"&amp;ROUNDUP(MONTH(A45)/3,0))</f>
        <v/>
      </c>
      <c r="C45" s="10" t="n"/>
      <c r="D45" s="10">
        <f>IF(C45="","",VLOOKUP(C45,계좌설정!$A:$C,3,FALSE))</f>
        <v/>
      </c>
      <c r="E45" s="10" t="n"/>
      <c r="F45" s="10">
        <f>IF(E45="","",VLOOKUP(E45,계좌설정!$E:$F,2,FALSE))</f>
        <v/>
      </c>
      <c r="G45" s="10" t="n"/>
      <c r="H45" s="10" t="n"/>
      <c r="I45" s="25" t="n"/>
      <c r="J45" s="11">
        <f>IF(OR(H45="",I45=""),"",H45*I45)</f>
        <v/>
      </c>
      <c r="K45" s="10" t="n"/>
    </row>
    <row r="46">
      <c r="A46" s="24" t="n"/>
      <c r="B46" s="10">
        <f>IF(A46="","",YEAR(A46)&amp;"Q"&amp;ROUNDUP(MONTH(A46)/3,0))</f>
        <v/>
      </c>
      <c r="C46" s="10" t="n"/>
      <c r="D46" s="10">
        <f>IF(C46="","",VLOOKUP(C46,계좌설정!$A:$C,3,FALSE))</f>
        <v/>
      </c>
      <c r="E46" s="10" t="n"/>
      <c r="F46" s="10">
        <f>IF(E46="","",VLOOKUP(E46,계좌설정!$E:$F,2,FALSE))</f>
        <v/>
      </c>
      <c r="G46" s="10" t="n"/>
      <c r="H46" s="10" t="n"/>
      <c r="I46" s="25" t="n"/>
      <c r="J46" s="11">
        <f>IF(OR(H46="",I46=""),"",H46*I46)</f>
        <v/>
      </c>
      <c r="K46" s="10" t="n"/>
    </row>
    <row r="47">
      <c r="A47" s="24" t="n"/>
      <c r="B47" s="10">
        <f>IF(A47="","",YEAR(A47)&amp;"Q"&amp;ROUNDUP(MONTH(A47)/3,0))</f>
        <v/>
      </c>
      <c r="C47" s="10" t="n"/>
      <c r="D47" s="10">
        <f>IF(C47="","",VLOOKUP(C47,계좌설정!$A:$C,3,FALSE))</f>
        <v/>
      </c>
      <c r="E47" s="10" t="n"/>
      <c r="F47" s="10">
        <f>IF(E47="","",VLOOKUP(E47,계좌설정!$E:$F,2,FALSE))</f>
        <v/>
      </c>
      <c r="G47" s="10" t="n"/>
      <c r="H47" s="10" t="n"/>
      <c r="I47" s="25" t="n"/>
      <c r="J47" s="11">
        <f>IF(OR(H47="",I47=""),"",H47*I47)</f>
        <v/>
      </c>
      <c r="K47" s="10" t="n"/>
    </row>
    <row r="48">
      <c r="A48" s="24" t="n"/>
      <c r="B48" s="10">
        <f>IF(A48="","",YEAR(A48)&amp;"Q"&amp;ROUNDUP(MONTH(A48)/3,0))</f>
        <v/>
      </c>
      <c r="C48" s="10" t="n"/>
      <c r="D48" s="10">
        <f>IF(C48="","",VLOOKUP(C48,계좌설정!$A:$C,3,FALSE))</f>
        <v/>
      </c>
      <c r="E48" s="10" t="n"/>
      <c r="F48" s="10">
        <f>IF(E48="","",VLOOKUP(E48,계좌설정!$E:$F,2,FALSE))</f>
        <v/>
      </c>
      <c r="G48" s="10" t="n"/>
      <c r="H48" s="10" t="n"/>
      <c r="I48" s="25" t="n"/>
      <c r="J48" s="11">
        <f>IF(OR(H48="",I48=""),"",H48*I48)</f>
        <v/>
      </c>
      <c r="K48" s="10" t="n"/>
    </row>
    <row r="49">
      <c r="A49" s="24" t="n"/>
      <c r="B49" s="10">
        <f>IF(A49="","",YEAR(A49)&amp;"Q"&amp;ROUNDUP(MONTH(A49)/3,0))</f>
        <v/>
      </c>
      <c r="C49" s="10" t="n"/>
      <c r="D49" s="10">
        <f>IF(C49="","",VLOOKUP(C49,계좌설정!$A:$C,3,FALSE))</f>
        <v/>
      </c>
      <c r="E49" s="10" t="n"/>
      <c r="F49" s="10">
        <f>IF(E49="","",VLOOKUP(E49,계좌설정!$E:$F,2,FALSE))</f>
        <v/>
      </c>
      <c r="G49" s="10" t="n"/>
      <c r="H49" s="10" t="n"/>
      <c r="I49" s="25" t="n"/>
      <c r="J49" s="11">
        <f>IF(OR(H49="",I49=""),"",H49*I49)</f>
        <v/>
      </c>
      <c r="K49" s="10" t="n"/>
    </row>
    <row r="50">
      <c r="A50" s="24" t="n"/>
      <c r="B50" s="10">
        <f>IF(A50="","",YEAR(A50)&amp;"Q"&amp;ROUNDUP(MONTH(A50)/3,0))</f>
        <v/>
      </c>
      <c r="C50" s="10" t="n"/>
      <c r="D50" s="10">
        <f>IF(C50="","",VLOOKUP(C50,계좌설정!$A:$C,3,FALSE))</f>
        <v/>
      </c>
      <c r="E50" s="10" t="n"/>
      <c r="F50" s="10">
        <f>IF(E50="","",VLOOKUP(E50,계좌설정!$E:$F,2,FALSE))</f>
        <v/>
      </c>
      <c r="G50" s="10" t="n"/>
      <c r="H50" s="10" t="n"/>
      <c r="I50" s="25" t="n"/>
      <c r="J50" s="11">
        <f>IF(OR(H50="",I50=""),"",H50*I50)</f>
        <v/>
      </c>
      <c r="K50" s="10" t="n"/>
    </row>
    <row r="51">
      <c r="A51" s="24" t="n"/>
      <c r="B51" s="10">
        <f>IF(A51="","",YEAR(A51)&amp;"Q"&amp;ROUNDUP(MONTH(A51)/3,0))</f>
        <v/>
      </c>
      <c r="C51" s="10" t="n"/>
      <c r="D51" s="10">
        <f>IF(C51="","",VLOOKUP(C51,계좌설정!$A:$C,3,FALSE))</f>
        <v/>
      </c>
      <c r="E51" s="10" t="n"/>
      <c r="F51" s="10">
        <f>IF(E51="","",VLOOKUP(E51,계좌설정!$E:$F,2,FALSE))</f>
        <v/>
      </c>
      <c r="G51" s="10" t="n"/>
      <c r="H51" s="10" t="n"/>
      <c r="I51" s="25" t="n"/>
      <c r="J51" s="11">
        <f>IF(OR(H51="",I51=""),"",H51*I51)</f>
        <v/>
      </c>
      <c r="K51" s="10" t="n"/>
    </row>
    <row r="52">
      <c r="A52" s="24" t="n"/>
      <c r="B52" s="10">
        <f>IF(A52="","",YEAR(A52)&amp;"Q"&amp;ROUNDUP(MONTH(A52)/3,0))</f>
        <v/>
      </c>
      <c r="C52" s="10" t="n"/>
      <c r="D52" s="10">
        <f>IF(C52="","",VLOOKUP(C52,계좌설정!$A:$C,3,FALSE))</f>
        <v/>
      </c>
      <c r="E52" s="10" t="n"/>
      <c r="F52" s="10">
        <f>IF(E52="","",VLOOKUP(E52,계좌설정!$E:$F,2,FALSE))</f>
        <v/>
      </c>
      <c r="G52" s="10" t="n"/>
      <c r="H52" s="10" t="n"/>
      <c r="I52" s="25" t="n"/>
      <c r="J52" s="11">
        <f>IF(OR(H52="",I52=""),"",H52*I52)</f>
        <v/>
      </c>
      <c r="K52" s="10" t="n"/>
    </row>
    <row r="53">
      <c r="A53" s="24" t="n"/>
      <c r="B53" s="10">
        <f>IF(A53="","",YEAR(A53)&amp;"Q"&amp;ROUNDUP(MONTH(A53)/3,0))</f>
        <v/>
      </c>
      <c r="C53" s="10" t="n"/>
      <c r="D53" s="10">
        <f>IF(C53="","",VLOOKUP(C53,계좌설정!$A:$C,3,FALSE))</f>
        <v/>
      </c>
      <c r="E53" s="10" t="n"/>
      <c r="F53" s="10">
        <f>IF(E53="","",VLOOKUP(E53,계좌설정!$E:$F,2,FALSE))</f>
        <v/>
      </c>
      <c r="G53" s="10" t="n"/>
      <c r="H53" s="10" t="n"/>
      <c r="I53" s="25" t="n"/>
      <c r="J53" s="11">
        <f>IF(OR(H53="",I53=""),"",H53*I53)</f>
        <v/>
      </c>
      <c r="K53" s="10" t="n"/>
    </row>
    <row r="54">
      <c r="A54" s="24" t="n"/>
      <c r="B54" s="10">
        <f>IF(A54="","",YEAR(A54)&amp;"Q"&amp;ROUNDUP(MONTH(A54)/3,0))</f>
        <v/>
      </c>
      <c r="C54" s="10" t="n"/>
      <c r="D54" s="10">
        <f>IF(C54="","",VLOOKUP(C54,계좌설정!$A:$C,3,FALSE))</f>
        <v/>
      </c>
      <c r="E54" s="10" t="n"/>
      <c r="F54" s="10">
        <f>IF(E54="","",VLOOKUP(E54,계좌설정!$E:$F,2,FALSE))</f>
        <v/>
      </c>
      <c r="G54" s="10" t="n"/>
      <c r="H54" s="10" t="n"/>
      <c r="I54" s="25" t="n"/>
      <c r="J54" s="11">
        <f>IF(OR(H54="",I54=""),"",H54*I54)</f>
        <v/>
      </c>
      <c r="K54" s="10" t="n"/>
    </row>
    <row r="55">
      <c r="A55" s="24" t="n"/>
      <c r="B55" s="10">
        <f>IF(A55="","",YEAR(A55)&amp;"Q"&amp;ROUNDUP(MONTH(A55)/3,0))</f>
        <v/>
      </c>
      <c r="C55" s="10" t="n"/>
      <c r="D55" s="10">
        <f>IF(C55="","",VLOOKUP(C55,계좌설정!$A:$C,3,FALSE))</f>
        <v/>
      </c>
      <c r="E55" s="10" t="n"/>
      <c r="F55" s="10">
        <f>IF(E55="","",VLOOKUP(E55,계좌설정!$E:$F,2,FALSE))</f>
        <v/>
      </c>
      <c r="G55" s="10" t="n"/>
      <c r="H55" s="10" t="n"/>
      <c r="I55" s="25" t="n"/>
      <c r="J55" s="11">
        <f>IF(OR(H55="",I55=""),"",H55*I55)</f>
        <v/>
      </c>
      <c r="K55" s="10" t="n"/>
    </row>
    <row r="56">
      <c r="A56" s="24" t="n"/>
      <c r="B56" s="10">
        <f>IF(A56="","",YEAR(A56)&amp;"Q"&amp;ROUNDUP(MONTH(A56)/3,0))</f>
        <v/>
      </c>
      <c r="C56" s="10" t="n"/>
      <c r="D56" s="10">
        <f>IF(C56="","",VLOOKUP(C56,계좌설정!$A:$C,3,FALSE))</f>
        <v/>
      </c>
      <c r="E56" s="10" t="n"/>
      <c r="F56" s="10">
        <f>IF(E56="","",VLOOKUP(E56,계좌설정!$E:$F,2,FALSE))</f>
        <v/>
      </c>
      <c r="G56" s="10" t="n"/>
      <c r="H56" s="10" t="n"/>
      <c r="I56" s="25" t="n"/>
      <c r="J56" s="11">
        <f>IF(OR(H56="",I56=""),"",H56*I56)</f>
        <v/>
      </c>
      <c r="K56" s="10" t="n"/>
    </row>
    <row r="57">
      <c r="A57" s="24" t="n"/>
      <c r="B57" s="10">
        <f>IF(A57="","",YEAR(A57)&amp;"Q"&amp;ROUNDUP(MONTH(A57)/3,0))</f>
        <v/>
      </c>
      <c r="C57" s="10" t="n"/>
      <c r="D57" s="10">
        <f>IF(C57="","",VLOOKUP(C57,계좌설정!$A:$C,3,FALSE))</f>
        <v/>
      </c>
      <c r="E57" s="10" t="n"/>
      <c r="F57" s="10">
        <f>IF(E57="","",VLOOKUP(E57,계좌설정!$E:$F,2,FALSE))</f>
        <v/>
      </c>
      <c r="G57" s="10" t="n"/>
      <c r="H57" s="10" t="n"/>
      <c r="I57" s="25" t="n"/>
      <c r="J57" s="11">
        <f>IF(OR(H57="",I57=""),"",H57*I57)</f>
        <v/>
      </c>
      <c r="K57" s="10" t="n"/>
    </row>
    <row r="58">
      <c r="A58" s="24" t="n"/>
      <c r="B58" s="10">
        <f>IF(A58="","",YEAR(A58)&amp;"Q"&amp;ROUNDUP(MONTH(A58)/3,0))</f>
        <v/>
      </c>
      <c r="C58" s="10" t="n"/>
      <c r="D58" s="10">
        <f>IF(C58="","",VLOOKUP(C58,계좌설정!$A:$C,3,FALSE))</f>
        <v/>
      </c>
      <c r="E58" s="10" t="n"/>
      <c r="F58" s="10">
        <f>IF(E58="","",VLOOKUP(E58,계좌설정!$E:$F,2,FALSE))</f>
        <v/>
      </c>
      <c r="G58" s="10" t="n"/>
      <c r="H58" s="10" t="n"/>
      <c r="I58" s="25" t="n"/>
      <c r="J58" s="11">
        <f>IF(OR(H58="",I58=""),"",H58*I58)</f>
        <v/>
      </c>
      <c r="K58" s="10" t="n"/>
    </row>
    <row r="59">
      <c r="A59" s="24" t="n"/>
      <c r="B59" s="10">
        <f>IF(A59="","",YEAR(A59)&amp;"Q"&amp;ROUNDUP(MONTH(A59)/3,0))</f>
        <v/>
      </c>
      <c r="C59" s="10" t="n"/>
      <c r="D59" s="10">
        <f>IF(C59="","",VLOOKUP(C59,계좌설정!$A:$C,3,FALSE))</f>
        <v/>
      </c>
      <c r="E59" s="10" t="n"/>
      <c r="F59" s="10">
        <f>IF(E59="","",VLOOKUP(E59,계좌설정!$E:$F,2,FALSE))</f>
        <v/>
      </c>
      <c r="G59" s="10" t="n"/>
      <c r="H59" s="10" t="n"/>
      <c r="I59" s="25" t="n"/>
      <c r="J59" s="11">
        <f>IF(OR(H59="",I59=""),"",H59*I59)</f>
        <v/>
      </c>
      <c r="K59" s="10" t="n"/>
    </row>
    <row r="60">
      <c r="A60" s="24" t="n"/>
      <c r="B60" s="10">
        <f>IF(A60="","",YEAR(A60)&amp;"Q"&amp;ROUNDUP(MONTH(A60)/3,0))</f>
        <v/>
      </c>
      <c r="C60" s="10" t="n"/>
      <c r="D60" s="10">
        <f>IF(C60="","",VLOOKUP(C60,계좌설정!$A:$C,3,FALSE))</f>
        <v/>
      </c>
      <c r="E60" s="10" t="n"/>
      <c r="F60" s="10">
        <f>IF(E60="","",VLOOKUP(E60,계좌설정!$E:$F,2,FALSE))</f>
        <v/>
      </c>
      <c r="G60" s="10" t="n"/>
      <c r="H60" s="10" t="n"/>
      <c r="I60" s="25" t="n"/>
      <c r="J60" s="11">
        <f>IF(OR(H60="",I60=""),"",H60*I60)</f>
        <v/>
      </c>
      <c r="K60" s="10" t="n"/>
    </row>
    <row r="61">
      <c r="A61" s="24" t="n"/>
      <c r="B61" s="10">
        <f>IF(A61="","",YEAR(A61)&amp;"Q"&amp;ROUNDUP(MONTH(A61)/3,0))</f>
        <v/>
      </c>
      <c r="C61" s="10" t="n"/>
      <c r="D61" s="10">
        <f>IF(C61="","",VLOOKUP(C61,계좌설정!$A:$C,3,FALSE))</f>
        <v/>
      </c>
      <c r="E61" s="10" t="n"/>
      <c r="F61" s="10">
        <f>IF(E61="","",VLOOKUP(E61,계좌설정!$E:$F,2,FALSE))</f>
        <v/>
      </c>
      <c r="G61" s="10" t="n"/>
      <c r="H61" s="10" t="n"/>
      <c r="I61" s="25" t="n"/>
      <c r="J61" s="11">
        <f>IF(OR(H61="",I61=""),"",H61*I61)</f>
        <v/>
      </c>
      <c r="K61" s="10" t="n"/>
    </row>
    <row r="62">
      <c r="A62" s="24" t="n"/>
      <c r="B62" s="10">
        <f>IF(A62="","",YEAR(A62)&amp;"Q"&amp;ROUNDUP(MONTH(A62)/3,0))</f>
        <v/>
      </c>
      <c r="C62" s="10" t="n"/>
      <c r="D62" s="10">
        <f>IF(C62="","",VLOOKUP(C62,계좌설정!$A:$C,3,FALSE))</f>
        <v/>
      </c>
      <c r="E62" s="10" t="n"/>
      <c r="F62" s="10">
        <f>IF(E62="","",VLOOKUP(E62,계좌설정!$E:$F,2,FALSE))</f>
        <v/>
      </c>
      <c r="G62" s="10" t="n"/>
      <c r="H62" s="10" t="n"/>
      <c r="I62" s="25" t="n"/>
      <c r="J62" s="11">
        <f>IF(OR(H62="",I62=""),"",H62*I62)</f>
        <v/>
      </c>
      <c r="K62" s="10" t="n"/>
    </row>
    <row r="63">
      <c r="A63" s="24" t="n"/>
      <c r="B63" s="10">
        <f>IF(A63="","",YEAR(A63)&amp;"Q"&amp;ROUNDUP(MONTH(A63)/3,0))</f>
        <v/>
      </c>
      <c r="C63" s="10" t="n"/>
      <c r="D63" s="10">
        <f>IF(C63="","",VLOOKUP(C63,계좌설정!$A:$C,3,FALSE))</f>
        <v/>
      </c>
      <c r="E63" s="10" t="n"/>
      <c r="F63" s="10">
        <f>IF(E63="","",VLOOKUP(E63,계좌설정!$E:$F,2,FALSE))</f>
        <v/>
      </c>
      <c r="G63" s="10" t="n"/>
      <c r="H63" s="10" t="n"/>
      <c r="I63" s="25" t="n"/>
      <c r="J63" s="11">
        <f>IF(OR(H63="",I63=""),"",H63*I63)</f>
        <v/>
      </c>
      <c r="K63" s="10" t="n"/>
    </row>
    <row r="64">
      <c r="A64" s="24" t="n"/>
      <c r="B64" s="10">
        <f>IF(A64="","",YEAR(A64)&amp;"Q"&amp;ROUNDUP(MONTH(A64)/3,0))</f>
        <v/>
      </c>
      <c r="C64" s="10" t="n"/>
      <c r="D64" s="10">
        <f>IF(C64="","",VLOOKUP(C64,계좌설정!$A:$C,3,FALSE))</f>
        <v/>
      </c>
      <c r="E64" s="10" t="n"/>
      <c r="F64" s="10">
        <f>IF(E64="","",VLOOKUP(E64,계좌설정!$E:$F,2,FALSE))</f>
        <v/>
      </c>
      <c r="G64" s="10" t="n"/>
      <c r="H64" s="10" t="n"/>
      <c r="I64" s="25" t="n"/>
      <c r="J64" s="11">
        <f>IF(OR(H64="",I64=""),"",H64*I64)</f>
        <v/>
      </c>
      <c r="K64" s="10" t="n"/>
    </row>
  </sheetData>
  <dataValidations count="2">
    <dataValidation sqref="C5:C64" showDropDown="0" showInputMessage="0" showErrorMessage="0" allowBlank="1" type="list">
      <formula1>"A1,A2,B1,B2"</formula1>
    </dataValidation>
    <dataValidation sqref="G5:G64" showDropDown="0" showInputMessage="0" showErrorMessage="0" allowBlank="1" type="list">
      <formula1>"매수,매도"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6" customWidth="1" min="4" max="4"/>
    <col width="16" customWidth="1" min="5" max="5"/>
    <col width="14" customWidth="1" min="6" max="6"/>
    <col width="14" customWidth="1" min="7" max="7"/>
    <col width="12" customWidth="1" min="8" max="8"/>
  </cols>
  <sheetData>
    <row r="1">
      <c r="A1" s="13" t="inlineStr">
        <is>
          <t>분기별 총자산 시계열 스냅샷</t>
        </is>
      </c>
    </row>
    <row r="2">
      <c r="A2" s="17" t="inlineStr">
        <is>
          <t>매 분기 리밸런싱 직후, 계좌별 평가금액 합계를 한 줄씩 '값으로' 입력하세요 (현황_리밸런싱의 계좌합계금액을 복사).</t>
        </is>
      </c>
    </row>
    <row r="4">
      <c r="A4" s="9" t="inlineStr">
        <is>
          <t>날짜</t>
        </is>
      </c>
      <c r="B4" s="9">
        <f>계좌설정!C5</f>
        <v/>
      </c>
      <c r="C4" s="9">
        <f>계좌설정!C9</f>
        <v/>
      </c>
      <c r="D4" s="9">
        <f>계좌설정!C13</f>
        <v/>
      </c>
      <c r="E4" s="9">
        <f>계좌설정!C17</f>
        <v/>
      </c>
      <c r="F4" s="9" t="inlineStr">
        <is>
          <t>총자산</t>
        </is>
      </c>
      <c r="G4" s="9" t="inlineStr">
        <is>
          <t>전기대비증감액</t>
        </is>
      </c>
      <c r="H4" s="9" t="inlineStr">
        <is>
          <t>전기대비증감률</t>
        </is>
      </c>
    </row>
    <row r="5">
      <c r="A5" s="24" t="n"/>
      <c r="B5" s="19" t="n"/>
      <c r="C5" s="19" t="n"/>
      <c r="D5" s="19" t="n"/>
      <c r="E5" s="19" t="n"/>
      <c r="F5" s="11">
        <f>IF(SUM(B5:E5)=0,"",SUM(B5:E5))</f>
        <v/>
      </c>
      <c r="G5" s="10" t="inlineStr"/>
      <c r="H5" s="10" t="inlineStr"/>
    </row>
    <row r="6">
      <c r="A6" s="24" t="n"/>
      <c r="B6" s="19" t="n"/>
      <c r="C6" s="19" t="n"/>
      <c r="D6" s="19" t="n"/>
      <c r="E6" s="19" t="n"/>
      <c r="F6" s="11">
        <f>IF(SUM(B6:E6)=0,"",SUM(B6:E6))</f>
        <v/>
      </c>
      <c r="G6" s="11">
        <f>IF(OR(F6="",F5=""),"",F6-F5)</f>
        <v/>
      </c>
      <c r="H6" s="12">
        <f>IF(OR(F6="",F5="",F5=0),"",F6/F5-1)</f>
        <v/>
      </c>
    </row>
    <row r="7">
      <c r="A7" s="24" t="n"/>
      <c r="B7" s="19" t="n"/>
      <c r="C7" s="19" t="n"/>
      <c r="D7" s="19" t="n"/>
      <c r="E7" s="19" t="n"/>
      <c r="F7" s="11">
        <f>IF(SUM(B7:E7)=0,"",SUM(B7:E7))</f>
        <v/>
      </c>
      <c r="G7" s="11">
        <f>IF(OR(F7="",F6=""),"",F7-F6)</f>
        <v/>
      </c>
      <c r="H7" s="12">
        <f>IF(OR(F7="",F6="",F6=0),"",F7/F6-1)</f>
        <v/>
      </c>
    </row>
    <row r="8">
      <c r="A8" s="24" t="n"/>
      <c r="B8" s="19" t="n"/>
      <c r="C8" s="19" t="n"/>
      <c r="D8" s="19" t="n"/>
      <c r="E8" s="19" t="n"/>
      <c r="F8" s="11">
        <f>IF(SUM(B8:E8)=0,"",SUM(B8:E8))</f>
        <v/>
      </c>
      <c r="G8" s="11">
        <f>IF(OR(F8="",F7=""),"",F8-F7)</f>
        <v/>
      </c>
      <c r="H8" s="12">
        <f>IF(OR(F8="",F7="",F7=0),"",F8/F7-1)</f>
        <v/>
      </c>
    </row>
    <row r="9">
      <c r="A9" s="24" t="n"/>
      <c r="B9" s="19" t="n"/>
      <c r="C9" s="19" t="n"/>
      <c r="D9" s="19" t="n"/>
      <c r="E9" s="19" t="n"/>
      <c r="F9" s="11">
        <f>IF(SUM(B9:E9)=0,"",SUM(B9:E9))</f>
        <v/>
      </c>
      <c r="G9" s="11">
        <f>IF(OR(F9="",F8=""),"",F9-F8)</f>
        <v/>
      </c>
      <c r="H9" s="12">
        <f>IF(OR(F9="",F8="",F8=0),"",F9/F8-1)</f>
        <v/>
      </c>
    </row>
    <row r="10">
      <c r="A10" s="24" t="n"/>
      <c r="B10" s="19" t="n"/>
      <c r="C10" s="19" t="n"/>
      <c r="D10" s="19" t="n"/>
      <c r="E10" s="19" t="n"/>
      <c r="F10" s="11">
        <f>IF(SUM(B10:E10)=0,"",SUM(B10:E10))</f>
        <v/>
      </c>
      <c r="G10" s="11">
        <f>IF(OR(F10="",F9=""),"",F10-F9)</f>
        <v/>
      </c>
      <c r="H10" s="12">
        <f>IF(OR(F10="",F9="",F9=0),"",F10/F9-1)</f>
        <v/>
      </c>
    </row>
    <row r="11">
      <c r="A11" s="24" t="n"/>
      <c r="B11" s="19" t="n"/>
      <c r="C11" s="19" t="n"/>
      <c r="D11" s="19" t="n"/>
      <c r="E11" s="19" t="n"/>
      <c r="F11" s="11">
        <f>IF(SUM(B11:E11)=0,"",SUM(B11:E11))</f>
        <v/>
      </c>
      <c r="G11" s="11">
        <f>IF(OR(F11="",F10=""),"",F11-F10)</f>
        <v/>
      </c>
      <c r="H11" s="12">
        <f>IF(OR(F11="",F10="",F10=0),"",F11/F10-1)</f>
        <v/>
      </c>
    </row>
    <row r="12">
      <c r="A12" s="24" t="n"/>
      <c r="B12" s="19" t="n"/>
      <c r="C12" s="19" t="n"/>
      <c r="D12" s="19" t="n"/>
      <c r="E12" s="19" t="n"/>
      <c r="F12" s="11">
        <f>IF(SUM(B12:E12)=0,"",SUM(B12:E12))</f>
        <v/>
      </c>
      <c r="G12" s="11">
        <f>IF(OR(F12="",F11=""),"",F12-F11)</f>
        <v/>
      </c>
      <c r="H12" s="12">
        <f>IF(OR(F12="",F11="",F11=0),"",F12/F11-1)</f>
        <v/>
      </c>
    </row>
    <row r="13">
      <c r="A13" s="24" t="n"/>
      <c r="B13" s="19" t="n"/>
      <c r="C13" s="19" t="n"/>
      <c r="D13" s="19" t="n"/>
      <c r="E13" s="19" t="n"/>
      <c r="F13" s="11">
        <f>IF(SUM(B13:E13)=0,"",SUM(B13:E13))</f>
        <v/>
      </c>
      <c r="G13" s="11">
        <f>IF(OR(F13="",F12=""),"",F13-F12)</f>
        <v/>
      </c>
      <c r="H13" s="12">
        <f>IF(OR(F13="",F12="",F12=0),"",F13/F12-1)</f>
        <v/>
      </c>
    </row>
    <row r="14">
      <c r="A14" s="24" t="n"/>
      <c r="B14" s="19" t="n"/>
      <c r="C14" s="19" t="n"/>
      <c r="D14" s="19" t="n"/>
      <c r="E14" s="19" t="n"/>
      <c r="F14" s="11">
        <f>IF(SUM(B14:E14)=0,"",SUM(B14:E14))</f>
        <v/>
      </c>
      <c r="G14" s="11">
        <f>IF(OR(F14="",F13=""),"",F14-F13)</f>
        <v/>
      </c>
      <c r="H14" s="12">
        <f>IF(OR(F14="",F13="",F13=0),"",F14/F13-1)</f>
        <v/>
      </c>
    </row>
    <row r="15">
      <c r="A15" s="24" t="n"/>
      <c r="B15" s="19" t="n"/>
      <c r="C15" s="19" t="n"/>
      <c r="D15" s="19" t="n"/>
      <c r="E15" s="19" t="n"/>
      <c r="F15" s="11">
        <f>IF(SUM(B15:E15)=0,"",SUM(B15:E15))</f>
        <v/>
      </c>
      <c r="G15" s="11">
        <f>IF(OR(F15="",F14=""),"",F15-F14)</f>
        <v/>
      </c>
      <c r="H15" s="12">
        <f>IF(OR(F15="",F14="",F14=0),"",F15/F14-1)</f>
        <v/>
      </c>
    </row>
    <row r="16">
      <c r="A16" s="24" t="n"/>
      <c r="B16" s="19" t="n"/>
      <c r="C16" s="19" t="n"/>
      <c r="D16" s="19" t="n"/>
      <c r="E16" s="19" t="n"/>
      <c r="F16" s="11">
        <f>IF(SUM(B16:E16)=0,"",SUM(B16:E16))</f>
        <v/>
      </c>
      <c r="G16" s="11">
        <f>IF(OR(F16="",F15=""),"",F16-F15)</f>
        <v/>
      </c>
      <c r="H16" s="12">
        <f>IF(OR(F16="",F15="",F15=0),"",F16/F15-1)</f>
        <v/>
      </c>
    </row>
    <row r="17">
      <c r="A17" s="24" t="n"/>
      <c r="B17" s="19" t="n"/>
      <c r="C17" s="19" t="n"/>
      <c r="D17" s="19" t="n"/>
      <c r="E17" s="19" t="n"/>
      <c r="F17" s="11">
        <f>IF(SUM(B17:E17)=0,"",SUM(B17:E17))</f>
        <v/>
      </c>
      <c r="G17" s="11">
        <f>IF(OR(F17="",F16=""),"",F17-F16)</f>
        <v/>
      </c>
      <c r="H17" s="12">
        <f>IF(OR(F17="",F16="",F16=0),"",F17/F16-1)</f>
        <v/>
      </c>
    </row>
    <row r="18">
      <c r="A18" s="24" t="n"/>
      <c r="B18" s="19" t="n"/>
      <c r="C18" s="19" t="n"/>
      <c r="D18" s="19" t="n"/>
      <c r="E18" s="19" t="n"/>
      <c r="F18" s="11">
        <f>IF(SUM(B18:E18)=0,"",SUM(B18:E18))</f>
        <v/>
      </c>
      <c r="G18" s="11">
        <f>IF(OR(F18="",F17=""),"",F18-F17)</f>
        <v/>
      </c>
      <c r="H18" s="12">
        <f>IF(OR(F18="",F17="",F17=0),"",F18/F17-1)</f>
        <v/>
      </c>
    </row>
    <row r="19">
      <c r="A19" s="24" t="n"/>
      <c r="B19" s="19" t="n"/>
      <c r="C19" s="19" t="n"/>
      <c r="D19" s="19" t="n"/>
      <c r="E19" s="19" t="n"/>
      <c r="F19" s="11">
        <f>IF(SUM(B19:E19)=0,"",SUM(B19:E19))</f>
        <v/>
      </c>
      <c r="G19" s="11">
        <f>IF(OR(F19="",F18=""),"",F19-F18)</f>
        <v/>
      </c>
      <c r="H19" s="12">
        <f>IF(OR(F19="",F18="",F18=0),"",F19/F18-1)</f>
        <v/>
      </c>
    </row>
    <row r="20">
      <c r="A20" s="24" t="n"/>
      <c r="B20" s="19" t="n"/>
      <c r="C20" s="19" t="n"/>
      <c r="D20" s="19" t="n"/>
      <c r="E20" s="19" t="n"/>
      <c r="F20" s="11">
        <f>IF(SUM(B20:E20)=0,"",SUM(B20:E20))</f>
        <v/>
      </c>
      <c r="G20" s="11">
        <f>IF(OR(F20="",F19=""),"",F20-F19)</f>
        <v/>
      </c>
      <c r="H20" s="12">
        <f>IF(OR(F20="",F19="",F19=0),"",F20/F19-1)</f>
        <v/>
      </c>
    </row>
    <row r="21">
      <c r="A21" s="24" t="n"/>
      <c r="B21" s="19" t="n"/>
      <c r="C21" s="19" t="n"/>
      <c r="D21" s="19" t="n"/>
      <c r="E21" s="19" t="n"/>
      <c r="F21" s="11">
        <f>IF(SUM(B21:E21)=0,"",SUM(B21:E21))</f>
        <v/>
      </c>
      <c r="G21" s="11">
        <f>IF(OR(F21="",F20=""),"",F21-F20)</f>
        <v/>
      </c>
      <c r="H21" s="12">
        <f>IF(OR(F21="",F20="",F20=0),"",F21/F20-1)</f>
        <v/>
      </c>
    </row>
    <row r="22">
      <c r="A22" s="24" t="n"/>
      <c r="B22" s="19" t="n"/>
      <c r="C22" s="19" t="n"/>
      <c r="D22" s="19" t="n"/>
      <c r="E22" s="19" t="n"/>
      <c r="F22" s="11">
        <f>IF(SUM(B22:E22)=0,"",SUM(B22:E22))</f>
        <v/>
      </c>
      <c r="G22" s="11">
        <f>IF(OR(F22="",F21=""),"",F22-F21)</f>
        <v/>
      </c>
      <c r="H22" s="12">
        <f>IF(OR(F22="",F21="",F21=0),"",F22/F21-1)</f>
        <v/>
      </c>
    </row>
    <row r="23">
      <c r="A23" s="24" t="n"/>
      <c r="B23" s="19" t="n"/>
      <c r="C23" s="19" t="n"/>
      <c r="D23" s="19" t="n"/>
      <c r="E23" s="19" t="n"/>
      <c r="F23" s="11">
        <f>IF(SUM(B23:E23)=0,"",SUM(B23:E23))</f>
        <v/>
      </c>
      <c r="G23" s="11">
        <f>IF(OR(F23="",F22=""),"",F23-F22)</f>
        <v/>
      </c>
      <c r="H23" s="12">
        <f>IF(OR(F23="",F22="",F22=0),"",F23/F22-1)</f>
        <v/>
      </c>
    </row>
    <row r="24">
      <c r="A24" s="24" t="n"/>
      <c r="B24" s="19" t="n"/>
      <c r="C24" s="19" t="n"/>
      <c r="D24" s="19" t="n"/>
      <c r="E24" s="19" t="n"/>
      <c r="F24" s="11">
        <f>IF(SUM(B24:E24)=0,"",SUM(B24:E24))</f>
        <v/>
      </c>
      <c r="G24" s="11">
        <f>IF(OR(F24="",F23=""),"",F24-F23)</f>
        <v/>
      </c>
      <c r="H24" s="12">
        <f>IF(OR(F24="",F23="",F23=0),"",F24/F23-1)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3" t="inlineStr">
        <is>
          <t>자산 추이 &amp; 배분 차트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2026-07-11T13:17:02Z</dcterms:created>
  <dcterms:modified xsi:type="dcterms:W3CDTF">2026-07-11T13:17:02Z</dcterms:modified>
</cp:coreProperties>
</file>