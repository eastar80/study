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법" sheetId="1" state="visible" r:id="rId1"/>
    <sheet name="대시보드" sheetId="2" state="visible" r:id="rId2"/>
    <sheet name="계좌설정" sheetId="3" state="visible" r:id="rId3"/>
    <sheet name="현황_리밸런싱" sheetId="4" state="visible" r:id="rId4"/>
    <sheet name="리밸런싱_히스토리" sheetId="5" state="visible" r:id="rId5"/>
    <sheet name="시계열_스냅샷" sheetId="6" state="visible" r:id="rId6"/>
    <sheet name="차트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&quot;원&quot;"/>
    <numFmt numFmtId="166" formatCode="yyyy-mm-dd"/>
  </numFmts>
  <fonts count="13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666666"/>
    </font>
    <font>
      <b val="1"/>
      <color rgb="001F3864"/>
      <sz val="12"/>
    </font>
    <font>
      <b val="1"/>
      <color rgb="001F3864"/>
      <sz val="16"/>
    </font>
    <font>
      <i val="1"/>
      <color rgb="00C00000"/>
      <sz val="9"/>
    </font>
    <font>
      <b val="1"/>
      <color rgb="00FFFFFF"/>
      <sz val="11"/>
    </font>
    <font>
      <b val="1"/>
      <color rgb="00666666"/>
      <sz val="9"/>
    </font>
    <font>
      <b val="1"/>
    </font>
    <font>
      <i val="1"/>
      <color rgb="00666666"/>
      <sz val="9"/>
    </font>
    <font>
      <b val="1"/>
      <color rgb="001F3864"/>
      <sz val="11"/>
    </font>
    <font>
      <b val="1"/>
      <color rgb="001F3864"/>
      <sz val="20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11" fillId="0" borderId="0" pivotButton="0" quotePrefix="0" xfId="0"/>
    <xf numFmtId="166" fontId="12" fillId="0" borderId="0" pivotButton="0" quotePrefix="0" xfId="0"/>
    <xf numFmtId="165" fontId="12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0" fillId="3" borderId="1" pivotButton="0" quotePrefix="0" xfId="0"/>
    <xf numFmtId="3" fontId="0" fillId="3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8" fillId="4" borderId="1" pivotButton="0" quotePrefix="0" xfId="0"/>
    <xf numFmtId="165" fontId="8" fillId="4" borderId="1" pivotButton="0" quotePrefix="0" xfId="0"/>
    <xf numFmtId="0" fontId="9" fillId="0" borderId="0" pivotButton="0" quotePrefix="0" xfId="0"/>
    <xf numFmtId="166" fontId="0" fillId="0" borderId="1" pivotButton="0" quotePrefix="0" xfId="0"/>
    <xf numFmtId="3" fontId="0" fillId="0" borderId="1" pivotButton="0" quotePrefix="0" xfId="0"/>
  </cellXfs>
  <cellStyles count="1">
    <cellStyle name="Normal" xfId="0" builtinId="0" hidden="0"/>
  </cellStyles>
  <dxfs count="3">
    <dxf>
      <font>
        <b val="1"/>
        <color rgb="00C00000"/>
      </font>
    </dxf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총자산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'시계열_스냅샷'!F4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'시계열_스냅샷'!$A$5:$A$24</f>
            </numRef>
          </cat>
          <val>
            <numRef>
              <f>'시계열_스냅샷'!$F$5:$F$24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날짜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총자산(원)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계좌별 자산 추이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'시계열_스냅샷'!B4</f>
            </strRef>
          </tx>
          <spPr>
            <a:ln>
              <a:prstDash val="solid"/>
            </a:ln>
          </spPr>
          <cat>
            <numRef>
              <f>'시계열_스냅샷'!$A$5:$A$24</f>
            </numRef>
          </cat>
          <val>
            <numRef>
              <f>'시계열_스냅샷'!$B$5:$B$24</f>
            </numRef>
          </val>
        </ser>
        <ser>
          <idx val="1"/>
          <order val="1"/>
          <tx>
            <strRef>
              <f>'시계열_스냅샷'!C4</f>
            </strRef>
          </tx>
          <spPr>
            <a:ln>
              <a:prstDash val="solid"/>
            </a:ln>
          </spPr>
          <cat>
            <numRef>
              <f>'시계열_스냅샷'!$A$5:$A$24</f>
            </numRef>
          </cat>
          <val>
            <numRef>
              <f>'시계열_스냅샷'!$C$5:$C$24</f>
            </numRef>
          </val>
        </ser>
        <ser>
          <idx val="2"/>
          <order val="2"/>
          <tx>
            <strRef>
              <f>'시계열_스냅샷'!D4</f>
            </strRef>
          </tx>
          <spPr>
            <a:ln>
              <a:prstDash val="solid"/>
            </a:ln>
          </spPr>
          <cat>
            <numRef>
              <f>'시계열_스냅샷'!$A$5:$A$24</f>
            </numRef>
          </cat>
          <val>
            <numRef>
              <f>'시계열_스냅샷'!$D$5:$D$24</f>
            </numRef>
          </val>
        </ser>
        <ser>
          <idx val="3"/>
          <order val="3"/>
          <tx>
            <strRef>
              <f>'시계열_스냅샷'!E4</f>
            </strRef>
          </tx>
          <spPr>
            <a:ln>
              <a:prstDash val="solid"/>
            </a:ln>
          </spPr>
          <cat>
            <numRef>
              <f>'시계열_스냅샷'!$A$5:$A$24</f>
            </numRef>
          </cat>
          <val>
            <numRef>
              <f>'시계열_스냅샷'!$E$5:$E$24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종목별 현재비중 vs 목표비중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'현황_리밸런싱'!I4</f>
            </strRef>
          </tx>
          <spPr>
            <a:ln>
              <a:prstDash val="solid"/>
            </a:ln>
          </spPr>
          <cat>
            <numRef>
              <f>'현황_리밸런싱'!$D$5:$D$20</f>
            </numRef>
          </cat>
          <val>
            <numRef>
              <f>'현황_리밸런싱'!$I$5:$I$20</f>
            </numRef>
          </val>
        </ser>
        <ser>
          <idx val="1"/>
          <order val="1"/>
          <tx>
            <strRef>
              <f>'현황_리밸런싱'!J4</f>
            </strRef>
          </tx>
          <spPr>
            <a:ln>
              <a:prstDash val="solid"/>
            </a:ln>
          </spPr>
          <cat>
            <numRef>
              <f>'현황_리밸런싱'!$D$5:$D$20</f>
            </numRef>
          </cat>
          <val>
            <numRef>
              <f>'현황_리밸런싱'!$J$5:$J$20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계좌별 자산배분</a:t>
            </a:r>
          </a:p>
        </rich>
      </tx>
    </title>
    <plotArea>
      <pieChart>
        <varyColors val="1"/>
        <ser>
          <idx val="0"/>
          <order val="0"/>
          <tx>
            <strRef>
              <f>'대시보드'!D10</f>
            </strRef>
          </tx>
          <spPr>
            <a:ln>
              <a:prstDash val="solid"/>
            </a:ln>
          </spPr>
          <cat>
            <numRef>
              <f>'대시보드'!$B$11:$B$14</f>
            </numRef>
          </cat>
          <val>
            <numRef>
              <f>'대시보드'!$D$11:$D$14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864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20</row>
      <rowOff>0</rowOff>
    </from>
    <ext cx="432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연금 자산(IRP·연금저축) 리밸런싱 관리 템플릿</t>
        </is>
      </c>
    </row>
    <row r="3">
      <c r="B3" s="2" t="inlineStr">
        <is>
          <t>4개 계좌 × 다수 ETF, 분기별 리밸런싱을 관리하기 위한 엑셀 템플릿입니다.</t>
        </is>
      </c>
    </row>
    <row r="5">
      <c r="B5" s="3" t="inlineStr">
        <is>
          <t>① 계좌설정</t>
        </is>
      </c>
    </row>
    <row r="6" ht="32" customHeight="1">
      <c r="B6" s="4" t="inlineStr">
        <is>
          <t>4개 계좌(IRP/연금저축)와 각 계좌가 보유할 ETF 목록·목표비중(%)을 등록합니다. 계좌당 목표비중 합계는 100%가 되어야 합니다. (예시 데이터가 들어있으니 실제 보유 종목으로 교체하세요)</t>
        </is>
      </c>
    </row>
    <row r="8">
      <c r="B8" s="3" t="inlineStr">
        <is>
          <t>② 현황_리밸런싱</t>
        </is>
      </c>
    </row>
    <row r="9" ht="32" customHeight="1">
      <c r="B9" s="4" t="inlineStr">
        <is>
          <t>분기마다 계좌설정과 '동일한 순서'로 보유수량·현재가만 입력하면, 평가금액/현재비중/목표비중과의 괴리, 계좌별 매수·매도 필요 수량이 자동 계산됩니다. 이 결과를 보고 실제 주문을 넣으면 됩니다.</t>
        </is>
      </c>
    </row>
    <row r="11">
      <c r="B11" s="3" t="inlineStr">
        <is>
          <t>③ 리밸런싱_히스토리</t>
        </is>
      </c>
    </row>
    <row r="12" ht="32" customHeight="1">
      <c r="B12" s="4" t="inlineStr">
        <is>
          <t>실제로 체결한 매수/매도 내역을 한 줄씩 기록하는 로그입니다. 계좌별칭·ETF명은 계좌설정을 참조해 자동으로 채워집니다. 과거에 무엇을 언제 왜 했는지 전부 남습니다.</t>
        </is>
      </c>
    </row>
    <row r="14">
      <c r="B14" s="3" t="inlineStr">
        <is>
          <t>④ 시계열_스냅샷</t>
        </is>
      </c>
    </row>
    <row r="15" ht="32" customHeight="1">
      <c r="B15" s="4" t="inlineStr">
        <is>
          <t>분기가 끝날 때마다(리밸런싱 직후) 계좌별 평가금액 합계를 한 줄 추가하세요. 총자산 추이와 계좌별 비중 변화를 시계열로 볼 수 있습니다.</t>
        </is>
      </c>
    </row>
    <row r="17">
      <c r="B17" s="3" t="inlineStr">
        <is>
          <t>⑤ 대시보드</t>
        </is>
      </c>
    </row>
    <row r="18" ht="32" customHeight="1">
      <c r="B18" s="4" t="inlineStr">
        <is>
          <t>현재 총자산, 계좌별 요약, 목표 대비 괴리가 큰 종목을 한눈에 보여주는 요약 화면입니다.</t>
        </is>
      </c>
    </row>
    <row r="20">
      <c r="B20" s="3" t="inlineStr">
        <is>
          <t>⑥ 차트</t>
        </is>
      </c>
    </row>
    <row r="21" ht="32" customHeight="1">
      <c r="B21" s="4" t="inlineStr">
        <is>
          <t>총자산 추이, 계좌별 자산 추이, 목표비중 대비 현재비중, 계좌별 자산배분 파이차트를 모아둔 시트입니다.</t>
        </is>
      </c>
    </row>
    <row r="23">
      <c r="B23" s="3" t="inlineStr">
        <is>
          <t>권장 루틴 (분기 1회, 약 10분)</t>
        </is>
      </c>
    </row>
    <row r="24">
      <c r="B24" t="inlineStr">
        <is>
          <t>1) 증권사 앱에서 4계좌 각각의 보유수량·현재가를 확인</t>
        </is>
      </c>
    </row>
    <row r="25">
      <c r="B25" t="inlineStr">
        <is>
          <t>2) 현황_리밸런싱 시트의 보유수량/현재가 입력 → 매수·매도 수량 자동 산출 확인</t>
        </is>
      </c>
    </row>
    <row r="26">
      <c r="B26" t="inlineStr">
        <is>
          <t>3) 산출된 대로 각 계좌에서 실제 주문 실행</t>
        </is>
      </c>
    </row>
    <row r="27">
      <c r="B27" t="inlineStr">
        <is>
          <t>4) 체결 내역을 리밸런싱_히스토리에 한 줄씩 기록</t>
        </is>
      </c>
    </row>
    <row r="28">
      <c r="B28" t="inlineStr">
        <is>
          <t>5) 시계열_스냅샷에 이번 분기 계좌별 합계금액 한 줄 추가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8" customWidth="1" min="3" max="3"/>
    <col width="18" customWidth="1" min="4" max="4"/>
    <col width="14" customWidth="1" min="5" max="5"/>
    <col width="14" customWidth="1" min="6" max="6"/>
    <col width="4" customWidth="1" min="7" max="7"/>
  </cols>
  <sheetData>
    <row r="2">
      <c r="B2" s="1" t="inlineStr">
        <is>
          <t>연금 자산 대시보드</t>
        </is>
      </c>
    </row>
    <row r="3">
      <c r="B3" s="2">
        <f>"기준일: "&amp;TEXT(TODAY(),"yyyy-mm-dd")</f>
        <v/>
      </c>
    </row>
    <row r="5">
      <c r="B5" s="5" t="inlineStr">
        <is>
          <t>총자산</t>
        </is>
      </c>
      <c r="D5" s="5" t="inlineStr">
        <is>
          <t>최근 리밸런싱 실행일</t>
        </is>
      </c>
      <c r="F5" s="5" t="inlineStr">
        <is>
          <t>최근 스냅샷 총자산</t>
        </is>
      </c>
    </row>
    <row r="6">
      <c r="B6" s="6">
        <f>현황_리밸런싱!G21</f>
        <v/>
      </c>
      <c r="D6" s="7">
        <f>IFERROR(MAX(리밸런싱_히스토리!A5:A64),"기록 없음")</f>
        <v/>
      </c>
      <c r="F6" s="8">
        <f>IFERROR(LOOKUP(2,1/(시계열_스냅샷!F5:F24&lt;&gt;""),시계열_스냅샷!F5:F24),"데이터 없음")</f>
        <v/>
      </c>
    </row>
    <row r="9">
      <c r="B9" s="5" t="inlineStr">
        <is>
          <t>계좌별 요약</t>
        </is>
      </c>
    </row>
    <row r="10">
      <c r="B10" s="9" t="inlineStr">
        <is>
          <t>계좌별칭</t>
        </is>
      </c>
      <c r="C10" s="9" t="inlineStr">
        <is>
          <t>계좌구분</t>
        </is>
      </c>
      <c r="D10" s="9" t="inlineStr">
        <is>
          <t>평가금액</t>
        </is>
      </c>
      <c r="E10" s="9" t="inlineStr">
        <is>
          <t>총자산 대비 비중</t>
        </is>
      </c>
    </row>
    <row r="11">
      <c r="B11" s="10">
        <f>계좌설정!C5</f>
        <v/>
      </c>
      <c r="C11" s="10">
        <f>계좌설정!B5</f>
        <v/>
      </c>
      <c r="D11" s="11">
        <f>SUMIF(현황_리밸런싱!$A$5:$A$20,계좌설정!A5,현황_리밸런싱!$G$5:$G$20)</f>
        <v/>
      </c>
      <c r="E11" s="12">
        <f>IF($B$6=0,0,D11/$B$6)</f>
        <v/>
      </c>
    </row>
    <row r="12">
      <c r="B12" s="10">
        <f>계좌설정!C9</f>
        <v/>
      </c>
      <c r="C12" s="10">
        <f>계좌설정!B9</f>
        <v/>
      </c>
      <c r="D12" s="11">
        <f>SUMIF(현황_리밸런싱!$A$5:$A$20,계좌설정!A9,현황_리밸런싱!$G$5:$G$20)</f>
        <v/>
      </c>
      <c r="E12" s="12">
        <f>IF($B$6=0,0,D12/$B$6)</f>
        <v/>
      </c>
    </row>
    <row r="13">
      <c r="B13" s="10">
        <f>계좌설정!C13</f>
        <v/>
      </c>
      <c r="C13" s="10">
        <f>계좌설정!B13</f>
        <v/>
      </c>
      <c r="D13" s="11">
        <f>SUMIF(현황_리밸런싱!$A$5:$A$20,계좌설정!A13,현황_리밸런싱!$G$5:$G$20)</f>
        <v/>
      </c>
      <c r="E13" s="12">
        <f>IF($B$6=0,0,D13/$B$6)</f>
        <v/>
      </c>
    </row>
    <row r="14">
      <c r="B14" s="10">
        <f>계좌설정!C17</f>
        <v/>
      </c>
      <c r="C14" s="10">
        <f>계좌설정!B17</f>
        <v/>
      </c>
      <c r="D14" s="11">
        <f>SUMIF(현황_리밸런싱!$A$5:$A$20,계좌설정!A17,현황_리밸런싱!$G$5:$G$20)</f>
        <v/>
      </c>
      <c r="E14" s="12">
        <f>IF($B$6=0,0,D14/$B$6)</f>
        <v/>
      </c>
    </row>
    <row r="17">
      <c r="B17" s="5" t="inlineStr">
        <is>
          <t>목표비중 대비 괴리 TOP5 (리밸런싱 우선순위)</t>
        </is>
      </c>
    </row>
    <row r="18">
      <c r="B18" s="9" t="inlineStr">
        <is>
          <t>계좌별칭</t>
        </is>
      </c>
      <c r="C18" s="9" t="inlineStr">
        <is>
          <t>ETF명</t>
        </is>
      </c>
      <c r="D18" s="9" t="inlineStr">
        <is>
          <t>현재비중</t>
        </is>
      </c>
      <c r="E18" s="9" t="inlineStr">
        <is>
          <t>목표비중</t>
        </is>
      </c>
      <c r="F18" s="9" t="inlineStr">
        <is>
          <t>괴리(%p)</t>
        </is>
      </c>
    </row>
    <row r="19">
      <c r="B19" s="10">
        <f>INDEX(현황_리밸런싱!$B$5:$B$20,MATCH(LARGE(현황_리밸런싱!$P$5:$P$20,1),현황_리밸런싱!$P$5:$P$20,0))</f>
        <v/>
      </c>
      <c r="C19" s="10">
        <f>INDEX(현황_리밸런싱!$D$5:$D$20,MATCH(LARGE(현황_리밸런싱!$P$5:$P$20,1),현황_리밸런싱!$P$5:$P$20,0))</f>
        <v/>
      </c>
      <c r="D19" s="12">
        <f>INDEX(현황_리밸런싱!$I$5:$I$20,MATCH(LARGE(현황_리밸런싱!$P$5:$P$20,1),현황_리밸런싱!$P$5:$P$20,0))</f>
        <v/>
      </c>
      <c r="E19" s="12">
        <f>INDEX(현황_리밸런싱!$J$5:$J$20,MATCH(LARGE(현황_리밸런싱!$P$5:$P$20,1),현황_리밸런싱!$P$5:$P$20,0))</f>
        <v/>
      </c>
      <c r="F19" s="12">
        <f>INDEX(현황_리밸런싱!$K$5:$K$20,MATCH(LARGE(현황_리밸런싱!$P$5:$P$20,1),현황_리밸런싱!$P$5:$P$20,0))</f>
        <v/>
      </c>
    </row>
    <row r="20">
      <c r="B20" s="10">
        <f>INDEX(현황_리밸런싱!$B$5:$B$20,MATCH(LARGE(현황_리밸런싱!$P$5:$P$20,2),현황_리밸런싱!$P$5:$P$20,0))</f>
        <v/>
      </c>
      <c r="C20" s="10">
        <f>INDEX(현황_리밸런싱!$D$5:$D$20,MATCH(LARGE(현황_리밸런싱!$P$5:$P$20,2),현황_리밸런싱!$P$5:$P$20,0))</f>
        <v/>
      </c>
      <c r="D20" s="12">
        <f>INDEX(현황_리밸런싱!$I$5:$I$20,MATCH(LARGE(현황_리밸런싱!$P$5:$P$20,2),현황_리밸런싱!$P$5:$P$20,0))</f>
        <v/>
      </c>
      <c r="E20" s="12">
        <f>INDEX(현황_리밸런싱!$J$5:$J$20,MATCH(LARGE(현황_리밸런싱!$P$5:$P$20,2),현황_리밸런싱!$P$5:$P$20,0))</f>
        <v/>
      </c>
      <c r="F20" s="12">
        <f>INDEX(현황_리밸런싱!$K$5:$K$20,MATCH(LARGE(현황_리밸런싱!$P$5:$P$20,2),현황_리밸런싱!$P$5:$P$20,0))</f>
        <v/>
      </c>
    </row>
    <row r="21">
      <c r="B21" s="10">
        <f>INDEX(현황_리밸런싱!$B$5:$B$20,MATCH(LARGE(현황_리밸런싱!$P$5:$P$20,3),현황_리밸런싱!$P$5:$P$20,0))</f>
        <v/>
      </c>
      <c r="C21" s="10">
        <f>INDEX(현황_리밸런싱!$D$5:$D$20,MATCH(LARGE(현황_리밸런싱!$P$5:$P$20,3),현황_리밸런싱!$P$5:$P$20,0))</f>
        <v/>
      </c>
      <c r="D21" s="12">
        <f>INDEX(현황_리밸런싱!$I$5:$I$20,MATCH(LARGE(현황_리밸런싱!$P$5:$P$20,3),현황_리밸런싱!$P$5:$P$20,0))</f>
        <v/>
      </c>
      <c r="E21" s="12">
        <f>INDEX(현황_리밸런싱!$J$5:$J$20,MATCH(LARGE(현황_리밸런싱!$P$5:$P$20,3),현황_리밸런싱!$P$5:$P$20,0))</f>
        <v/>
      </c>
      <c r="F21" s="12">
        <f>INDEX(현황_리밸런싱!$K$5:$K$20,MATCH(LARGE(현황_리밸런싱!$P$5:$P$20,3),현황_리밸런싱!$P$5:$P$20,0))</f>
        <v/>
      </c>
    </row>
    <row r="22">
      <c r="B22" s="10">
        <f>INDEX(현황_리밸런싱!$B$5:$B$20,MATCH(LARGE(현황_리밸런싱!$P$5:$P$20,4),현황_리밸런싱!$P$5:$P$20,0))</f>
        <v/>
      </c>
      <c r="C22" s="10">
        <f>INDEX(현황_리밸런싱!$D$5:$D$20,MATCH(LARGE(현황_리밸런싱!$P$5:$P$20,4),현황_리밸런싱!$P$5:$P$20,0))</f>
        <v/>
      </c>
      <c r="D22" s="12">
        <f>INDEX(현황_리밸런싱!$I$5:$I$20,MATCH(LARGE(현황_리밸런싱!$P$5:$P$20,4),현황_리밸런싱!$P$5:$P$20,0))</f>
        <v/>
      </c>
      <c r="E22" s="12">
        <f>INDEX(현황_리밸런싱!$J$5:$J$20,MATCH(LARGE(현황_리밸런싱!$P$5:$P$20,4),현황_리밸런싱!$P$5:$P$20,0))</f>
        <v/>
      </c>
      <c r="F22" s="12">
        <f>INDEX(현황_리밸런싱!$K$5:$K$20,MATCH(LARGE(현황_리밸런싱!$P$5:$P$20,4),현황_리밸런싱!$P$5:$P$20,0))</f>
        <v/>
      </c>
    </row>
    <row r="23">
      <c r="B23" s="10">
        <f>INDEX(현황_리밸런싱!$B$5:$B$20,MATCH(LARGE(현황_리밸런싱!$P$5:$P$20,5),현황_리밸런싱!$P$5:$P$20,0))</f>
        <v/>
      </c>
      <c r="C23" s="10">
        <f>INDEX(현황_리밸런싱!$D$5:$D$20,MATCH(LARGE(현황_리밸런싱!$P$5:$P$20,5),현황_리밸런싱!$P$5:$P$20,0))</f>
        <v/>
      </c>
      <c r="D23" s="12">
        <f>INDEX(현황_리밸런싱!$I$5:$I$20,MATCH(LARGE(현황_리밸런싱!$P$5:$P$20,5),현황_리밸런싱!$P$5:$P$20,0))</f>
        <v/>
      </c>
      <c r="E23" s="12">
        <f>INDEX(현황_리밸런싱!$J$5:$J$20,MATCH(LARGE(현황_리밸런싱!$P$5:$P$20,5),현황_리밸런싱!$P$5:$P$20,0))</f>
        <v/>
      </c>
      <c r="F23" s="12">
        <f>INDEX(현황_리밸런싱!$K$5:$K$20,MATCH(LARGE(현황_리밸런싱!$P$5:$P$20,5),현황_리밸런싱!$P$5:$P$20,0))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6" customWidth="1" min="4" max="4"/>
    <col width="10" customWidth="1" min="5" max="5"/>
    <col width="26" customWidth="1" min="6" max="6"/>
    <col width="12" customWidth="1" min="7" max="7"/>
  </cols>
  <sheetData>
    <row r="1">
      <c r="A1" s="13" t="inlineStr">
        <is>
          <t>계좌 &amp; 목표 포트폴리오 설정</t>
        </is>
      </c>
    </row>
    <row r="2">
      <c r="A2" s="14" t="inlineStr">
        <is>
          <t>※ 예시 데이터입니다. 실제 보유 계좌/ETF/목표비중으로 교체하세요. 계좌당 목표비중 합계는 100%가 되어야 합니다.</t>
        </is>
      </c>
    </row>
    <row r="4">
      <c r="A4" s="9" t="inlineStr">
        <is>
          <t>계좌ID</t>
        </is>
      </c>
      <c r="B4" s="9" t="inlineStr">
        <is>
          <t>계좌구분</t>
        </is>
      </c>
      <c r="C4" s="9" t="inlineStr">
        <is>
          <t>계좌별칭</t>
        </is>
      </c>
      <c r="D4" s="9" t="inlineStr">
        <is>
          <t>증권사</t>
        </is>
      </c>
      <c r="E4" s="9" t="inlineStr">
        <is>
          <t>티커</t>
        </is>
      </c>
      <c r="F4" s="9" t="inlineStr">
        <is>
          <t>ETF명</t>
        </is>
      </c>
      <c r="G4" s="9" t="inlineStr">
        <is>
          <t>목표비중</t>
        </is>
      </c>
    </row>
    <row r="5">
      <c r="A5" s="10" t="inlineStr">
        <is>
          <t>A1</t>
        </is>
      </c>
      <c r="B5" s="10" t="inlineStr">
        <is>
          <t>IRP</t>
        </is>
      </c>
      <c r="C5" s="10" t="inlineStr">
        <is>
          <t>IRP-1(미래에셋)</t>
        </is>
      </c>
      <c r="D5" s="10" t="inlineStr">
        <is>
          <t>미래에셋증권</t>
        </is>
      </c>
      <c r="E5" s="10" t="inlineStr">
        <is>
          <t>379800</t>
        </is>
      </c>
      <c r="F5" s="10" t="inlineStr">
        <is>
          <t>KODEX 미국S&amp;P500</t>
        </is>
      </c>
      <c r="G5" s="12" t="n">
        <v>0.4</v>
      </c>
    </row>
    <row r="6">
      <c r="A6" s="10" t="inlineStr">
        <is>
          <t>A1</t>
        </is>
      </c>
      <c r="B6" s="10" t="inlineStr">
        <is>
          <t>IRP</t>
        </is>
      </c>
      <c r="C6" s="10" t="inlineStr">
        <is>
          <t>IRP-1(미래에셋)</t>
        </is>
      </c>
      <c r="D6" s="10" t="inlineStr">
        <is>
          <t>미래에셋증권</t>
        </is>
      </c>
      <c r="E6" s="10" t="inlineStr">
        <is>
          <t>381170</t>
        </is>
      </c>
      <c r="F6" s="10" t="inlineStr">
        <is>
          <t>TIGER 미국테크TOP10</t>
        </is>
      </c>
      <c r="G6" s="12" t="n">
        <v>0.2</v>
      </c>
    </row>
    <row r="7">
      <c r="A7" s="10" t="inlineStr">
        <is>
          <t>A1</t>
        </is>
      </c>
      <c r="B7" s="10" t="inlineStr">
        <is>
          <t>IRP</t>
        </is>
      </c>
      <c r="C7" s="10" t="inlineStr">
        <is>
          <t>IRP-1(미래에셋)</t>
        </is>
      </c>
      <c r="D7" s="10" t="inlineStr">
        <is>
          <t>미래에셋증권</t>
        </is>
      </c>
      <c r="E7" s="10" t="inlineStr">
        <is>
          <t>360750</t>
        </is>
      </c>
      <c r="F7" s="10" t="inlineStr">
        <is>
          <t>TIGER 미국나스닥100</t>
        </is>
      </c>
      <c r="G7" s="12" t="n">
        <v>0.2</v>
      </c>
    </row>
    <row r="8">
      <c r="A8" s="10" t="inlineStr">
        <is>
          <t>A1</t>
        </is>
      </c>
      <c r="B8" s="10" t="inlineStr">
        <is>
          <t>IRP</t>
        </is>
      </c>
      <c r="C8" s="10" t="inlineStr">
        <is>
          <t>IRP-1(미래에셋)</t>
        </is>
      </c>
      <c r="D8" s="10" t="inlineStr">
        <is>
          <t>미래에셋증권</t>
        </is>
      </c>
      <c r="E8" s="10" t="inlineStr">
        <is>
          <t>305080</t>
        </is>
      </c>
      <c r="F8" s="10" t="inlineStr">
        <is>
          <t>TIGER 미국채10년선물</t>
        </is>
      </c>
      <c r="G8" s="12" t="n">
        <v>0.2</v>
      </c>
    </row>
    <row r="9">
      <c r="A9" s="10" t="inlineStr">
        <is>
          <t>A2</t>
        </is>
      </c>
      <c r="B9" s="10" t="inlineStr">
        <is>
          <t>연금저축</t>
        </is>
      </c>
      <c r="C9" s="10" t="inlineStr">
        <is>
          <t>연금저축-1(미래에셋)</t>
        </is>
      </c>
      <c r="D9" s="10" t="inlineStr">
        <is>
          <t>미래에셋증권</t>
        </is>
      </c>
      <c r="E9" s="10" t="inlineStr">
        <is>
          <t>069500</t>
        </is>
      </c>
      <c r="F9" s="10" t="inlineStr">
        <is>
          <t>KODEX 200</t>
        </is>
      </c>
      <c r="G9" s="12" t="n">
        <v>0.4</v>
      </c>
    </row>
    <row r="10">
      <c r="A10" s="10" t="inlineStr">
        <is>
          <t>A2</t>
        </is>
      </c>
      <c r="B10" s="10" t="inlineStr">
        <is>
          <t>연금저축</t>
        </is>
      </c>
      <c r="C10" s="10" t="inlineStr">
        <is>
          <t>연금저축-1(미래에셋)</t>
        </is>
      </c>
      <c r="D10" s="10" t="inlineStr">
        <is>
          <t>미래에셋증권</t>
        </is>
      </c>
      <c r="E10" s="10" t="inlineStr">
        <is>
          <t>148070</t>
        </is>
      </c>
      <c r="F10" s="10" t="inlineStr">
        <is>
          <t>KOSEF 국고채10년</t>
        </is>
      </c>
      <c r="G10" s="12" t="n">
        <v>0.3</v>
      </c>
    </row>
    <row r="11">
      <c r="A11" s="10" t="inlineStr">
        <is>
          <t>A2</t>
        </is>
      </c>
      <c r="B11" s="10" t="inlineStr">
        <is>
          <t>연금저축</t>
        </is>
      </c>
      <c r="C11" s="10" t="inlineStr">
        <is>
          <t>연금저축-1(미래에셋)</t>
        </is>
      </c>
      <c r="D11" s="10" t="inlineStr">
        <is>
          <t>미래에셋증권</t>
        </is>
      </c>
      <c r="E11" s="10" t="inlineStr">
        <is>
          <t>132030</t>
        </is>
      </c>
      <c r="F11" s="10" t="inlineStr">
        <is>
          <t>KODEX 골드선물(H)</t>
        </is>
      </c>
      <c r="G11" s="12" t="n">
        <v>0.15</v>
      </c>
    </row>
    <row r="12">
      <c r="A12" s="10" t="inlineStr">
        <is>
          <t>A2</t>
        </is>
      </c>
      <c r="B12" s="10" t="inlineStr">
        <is>
          <t>연금저축</t>
        </is>
      </c>
      <c r="C12" s="10" t="inlineStr">
        <is>
          <t>연금저축-1(미래에셋)</t>
        </is>
      </c>
      <c r="D12" s="10" t="inlineStr">
        <is>
          <t>미래에셋증권</t>
        </is>
      </c>
      <c r="E12" s="10" t="inlineStr">
        <is>
          <t>310970</t>
        </is>
      </c>
      <c r="F12" s="10" t="inlineStr">
        <is>
          <t>KODEX 미국S&amp;P500TR</t>
        </is>
      </c>
      <c r="G12" s="12" t="n">
        <v>0.15</v>
      </c>
    </row>
    <row r="13">
      <c r="A13" s="10" t="inlineStr">
        <is>
          <t>B1</t>
        </is>
      </c>
      <c r="B13" s="10" t="inlineStr">
        <is>
          <t>IRP</t>
        </is>
      </c>
      <c r="C13" s="10" t="inlineStr">
        <is>
          <t>IRP-2(한국투자)</t>
        </is>
      </c>
      <c r="D13" s="10" t="inlineStr">
        <is>
          <t>한국투자증권</t>
        </is>
      </c>
      <c r="E13" s="10" t="inlineStr">
        <is>
          <t>360750</t>
        </is>
      </c>
      <c r="F13" s="10" t="inlineStr">
        <is>
          <t>TIGER 미국나스닥100</t>
        </is>
      </c>
      <c r="G13" s="12" t="n">
        <v>0.3</v>
      </c>
    </row>
    <row r="14">
      <c r="A14" s="10" t="inlineStr">
        <is>
          <t>B1</t>
        </is>
      </c>
      <c r="B14" s="10" t="inlineStr">
        <is>
          <t>IRP</t>
        </is>
      </c>
      <c r="C14" s="10" t="inlineStr">
        <is>
          <t>IRP-2(한국투자)</t>
        </is>
      </c>
      <c r="D14" s="10" t="inlineStr">
        <is>
          <t>한국투자증권</t>
        </is>
      </c>
      <c r="E14" s="10" t="inlineStr">
        <is>
          <t>379800</t>
        </is>
      </c>
      <c r="F14" s="10" t="inlineStr">
        <is>
          <t>KODEX 미국S&amp;P500</t>
        </is>
      </c>
      <c r="G14" s="12" t="n">
        <v>0.3</v>
      </c>
    </row>
    <row r="15">
      <c r="A15" s="10" t="inlineStr">
        <is>
          <t>B1</t>
        </is>
      </c>
      <c r="B15" s="10" t="inlineStr">
        <is>
          <t>IRP</t>
        </is>
      </c>
      <c r="C15" s="10" t="inlineStr">
        <is>
          <t>IRP-2(한국투자)</t>
        </is>
      </c>
      <c r="D15" s="10" t="inlineStr">
        <is>
          <t>한국투자증권</t>
        </is>
      </c>
      <c r="E15" s="10" t="inlineStr">
        <is>
          <t>114260</t>
        </is>
      </c>
      <c r="F15" s="10" t="inlineStr">
        <is>
          <t>KODEX 국고채3년</t>
        </is>
      </c>
      <c r="G15" s="12" t="n">
        <v>0.25</v>
      </c>
    </row>
    <row r="16">
      <c r="A16" s="10" t="inlineStr">
        <is>
          <t>B1</t>
        </is>
      </c>
      <c r="B16" s="10" t="inlineStr">
        <is>
          <t>IRP</t>
        </is>
      </c>
      <c r="C16" s="10" t="inlineStr">
        <is>
          <t>IRP-2(한국투자)</t>
        </is>
      </c>
      <c r="D16" s="10" t="inlineStr">
        <is>
          <t>한국투자증권</t>
        </is>
      </c>
      <c r="E16" s="10" t="inlineStr">
        <is>
          <t>132030</t>
        </is>
      </c>
      <c r="F16" s="10" t="inlineStr">
        <is>
          <t>KODEX 골드선물(H)</t>
        </is>
      </c>
      <c r="G16" s="12" t="n">
        <v>0.15</v>
      </c>
    </row>
    <row r="17">
      <c r="A17" s="10" t="inlineStr">
        <is>
          <t>B2</t>
        </is>
      </c>
      <c r="B17" s="10" t="inlineStr">
        <is>
          <t>연금저축</t>
        </is>
      </c>
      <c r="C17" s="10" t="inlineStr">
        <is>
          <t>연금저축-2(한국투자)</t>
        </is>
      </c>
      <c r="D17" s="10" t="inlineStr">
        <is>
          <t>한국투자증권</t>
        </is>
      </c>
      <c r="E17" s="10" t="inlineStr">
        <is>
          <t>069500</t>
        </is>
      </c>
      <c r="F17" s="10" t="inlineStr">
        <is>
          <t>KODEX 200</t>
        </is>
      </c>
      <c r="G17" s="12" t="n">
        <v>0.35</v>
      </c>
    </row>
    <row r="18">
      <c r="A18" s="10" t="inlineStr">
        <is>
          <t>B2</t>
        </is>
      </c>
      <c r="B18" s="10" t="inlineStr">
        <is>
          <t>연금저축</t>
        </is>
      </c>
      <c r="C18" s="10" t="inlineStr">
        <is>
          <t>연금저축-2(한국투자)</t>
        </is>
      </c>
      <c r="D18" s="10" t="inlineStr">
        <is>
          <t>한국투자증권</t>
        </is>
      </c>
      <c r="E18" s="10" t="inlineStr">
        <is>
          <t>360750</t>
        </is>
      </c>
      <c r="F18" s="10" t="inlineStr">
        <is>
          <t>TIGER 미국나스닥100</t>
        </is>
      </c>
      <c r="G18" s="12" t="n">
        <v>0.25</v>
      </c>
    </row>
    <row r="19">
      <c r="A19" s="10" t="inlineStr">
        <is>
          <t>B2</t>
        </is>
      </c>
      <c r="B19" s="10" t="inlineStr">
        <is>
          <t>연금저축</t>
        </is>
      </c>
      <c r="C19" s="10" t="inlineStr">
        <is>
          <t>연금저축-2(한국투자)</t>
        </is>
      </c>
      <c r="D19" s="10" t="inlineStr">
        <is>
          <t>한국투자증권</t>
        </is>
      </c>
      <c r="E19" s="10" t="inlineStr">
        <is>
          <t>148070</t>
        </is>
      </c>
      <c r="F19" s="10" t="inlineStr">
        <is>
          <t>KOSEF 국고채10년</t>
        </is>
      </c>
      <c r="G19" s="12" t="n">
        <v>0.25</v>
      </c>
    </row>
    <row r="20">
      <c r="A20" s="10" t="inlineStr">
        <is>
          <t>B2</t>
        </is>
      </c>
      <c r="B20" s="10" t="inlineStr">
        <is>
          <t>연금저축</t>
        </is>
      </c>
      <c r="C20" s="10" t="inlineStr">
        <is>
          <t>연금저축-2(한국투자)</t>
        </is>
      </c>
      <c r="D20" s="10" t="inlineStr">
        <is>
          <t>한국투자증권</t>
        </is>
      </c>
      <c r="E20" s="10" t="inlineStr">
        <is>
          <t>130680</t>
        </is>
      </c>
      <c r="F20" s="10" t="inlineStr">
        <is>
          <t>TIGER 골드선물(H)</t>
        </is>
      </c>
      <c r="G20" s="12" t="n">
        <v>0.15</v>
      </c>
    </row>
    <row r="21">
      <c r="H21" s="9" t="inlineStr">
        <is>
          <t>계좌ID</t>
        </is>
      </c>
      <c r="I21" s="9" t="inlineStr">
        <is>
          <t>목표비중합계</t>
        </is>
      </c>
    </row>
    <row r="22">
      <c r="C22" s="15" t="inlineStr">
        <is>
          <t>계좌별 목표비중 합계 검증 (100%가 아니면 빨간색)</t>
        </is>
      </c>
      <c r="H22" t="inlineStr">
        <is>
          <t>A1</t>
        </is>
      </c>
      <c r="I22" s="16">
        <f>SUMIF($A$5:$A$20,H22,$G$5:$G$20)</f>
        <v/>
      </c>
    </row>
    <row r="23">
      <c r="H23" t="inlineStr">
        <is>
          <t>A2</t>
        </is>
      </c>
      <c r="I23" s="16">
        <f>SUMIF($A$5:$A$20,H23,$G$5:$G$20)</f>
        <v/>
      </c>
    </row>
    <row r="24">
      <c r="H24" t="inlineStr">
        <is>
          <t>B1</t>
        </is>
      </c>
      <c r="I24" s="16">
        <f>SUMIF($A$5:$A$20,H24,$G$5:$G$20)</f>
        <v/>
      </c>
    </row>
    <row r="25">
      <c r="H25" t="inlineStr">
        <is>
          <t>B2</t>
        </is>
      </c>
      <c r="I25" s="16">
        <f>SUMIF($A$5:$A$20,H25,$G$5:$G$20)</f>
        <v/>
      </c>
    </row>
  </sheetData>
  <conditionalFormatting sqref="I22:I25">
    <cfRule type="cellIs" priority="1" operator="notEqual" dxfId="0">
      <formula>1</formula>
    </cfRule>
  </conditionalFormatting>
  <dataValidations count="1">
    <dataValidation sqref="B5:B40" showDropDown="0" showInputMessage="0" showErrorMessage="0" allowBlank="1" type="list">
      <formula1>"IRP,연금저축,ISA,일반계좌"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10" customWidth="1" min="3" max="3"/>
    <col width="24" customWidth="1" min="4" max="4"/>
    <col width="12" customWidth="1" min="5" max="5"/>
    <col width="12" customWidth="1" min="6" max="6"/>
    <col width="14" customWidth="1" min="7" max="7"/>
    <col width="14" customWidth="1" min="8" max="8"/>
    <col width="12" customWidth="1" min="9" max="9"/>
    <col width="12" customWidth="1" min="10" max="10"/>
    <col width="10" customWidth="1" min="11" max="11"/>
    <col width="14" customWidth="1" min="12" max="12"/>
    <col width="14" customWidth="1" min="13" max="13"/>
    <col width="12" customWidth="1" min="14" max="14"/>
    <col width="8" customWidth="1" min="15" max="15"/>
    <col hidden="1" width="10" customWidth="1" min="16" max="16"/>
  </cols>
  <sheetData>
    <row r="1">
      <c r="A1" s="13" t="inlineStr">
        <is>
          <t>분기 리밸런싱 계산기</t>
        </is>
      </c>
    </row>
    <row r="2">
      <c r="A2" s="14" t="inlineStr">
        <is>
          <t>※ 계좌설정과 '동일한 순서'로 보유수량·현재가만 입력하세요. 나머지는 전부 자동 계산됩니다.</t>
        </is>
      </c>
    </row>
    <row r="4">
      <c r="A4" s="9" t="inlineStr">
        <is>
          <t>계좌ID</t>
        </is>
      </c>
      <c r="B4" s="9" t="inlineStr">
        <is>
          <t>계좌별칭</t>
        </is>
      </c>
      <c r="C4" s="9" t="inlineStr">
        <is>
          <t>티커</t>
        </is>
      </c>
      <c r="D4" s="9" t="inlineStr">
        <is>
          <t>ETF명</t>
        </is>
      </c>
      <c r="E4" s="9" t="inlineStr">
        <is>
          <t>보유수량</t>
        </is>
      </c>
      <c r="F4" s="9" t="inlineStr">
        <is>
          <t>현재가</t>
        </is>
      </c>
      <c r="G4" s="9" t="inlineStr">
        <is>
          <t>평가금액</t>
        </is>
      </c>
      <c r="H4" s="9" t="inlineStr">
        <is>
          <t>계좌합계금액</t>
        </is>
      </c>
      <c r="I4" s="9" t="inlineStr">
        <is>
          <t>현재비중</t>
        </is>
      </c>
      <c r="J4" s="9" t="inlineStr">
        <is>
          <t>목표비중</t>
        </is>
      </c>
      <c r="K4" s="9" t="inlineStr">
        <is>
          <t>비중차이</t>
        </is>
      </c>
      <c r="L4" s="9" t="inlineStr">
        <is>
          <t>목표금액</t>
        </is>
      </c>
      <c r="M4" s="9" t="inlineStr">
        <is>
          <t>조정금액(+매수/-매도)</t>
        </is>
      </c>
      <c r="N4" s="9" t="inlineStr">
        <is>
          <t>매매수량</t>
        </is>
      </c>
      <c r="O4" s="9" t="inlineStr">
        <is>
          <t>액션</t>
        </is>
      </c>
      <c r="P4" s="9" t="inlineStr">
        <is>
          <t>비중차이(절대값)</t>
        </is>
      </c>
    </row>
    <row r="5">
      <c r="A5" s="10">
        <f>계좌설정!A5</f>
        <v/>
      </c>
      <c r="B5" s="10">
        <f>계좌설정!C5</f>
        <v/>
      </c>
      <c r="C5" s="10">
        <f>계좌설정!E5</f>
        <v/>
      </c>
      <c r="D5" s="10">
        <f>계좌설정!F5</f>
        <v/>
      </c>
      <c r="E5" s="17" t="n"/>
      <c r="F5" s="18" t="n"/>
      <c r="G5" s="11">
        <f>E5*F5</f>
        <v/>
      </c>
      <c r="H5" s="11">
        <f>SUMIF($A$5:$A$20,A5,$G$5:$G$20)</f>
        <v/>
      </c>
      <c r="I5" s="12">
        <f>IF(H5=0,0,G5/H5)</f>
        <v/>
      </c>
      <c r="J5" s="12">
        <f>계좌설정!G5</f>
        <v/>
      </c>
      <c r="K5" s="12">
        <f>I5-J5</f>
        <v/>
      </c>
      <c r="L5" s="11">
        <f>H5*J5</f>
        <v/>
      </c>
      <c r="M5" s="11">
        <f>L5-G5</f>
        <v/>
      </c>
      <c r="N5" s="10">
        <f>IF(F5=0,0,ROUND(M5/F5,0))</f>
        <v/>
      </c>
      <c r="O5" s="19">
        <f>IF(N5&gt;0,"매수",IF(N5&lt;0,"매도","유지"))</f>
        <v/>
      </c>
      <c r="P5" s="12">
        <f>ABS(K5)</f>
        <v/>
      </c>
    </row>
    <row r="6">
      <c r="A6" s="10">
        <f>계좌설정!A6</f>
        <v/>
      </c>
      <c r="B6" s="10">
        <f>계좌설정!C6</f>
        <v/>
      </c>
      <c r="C6" s="10">
        <f>계좌설정!E6</f>
        <v/>
      </c>
      <c r="D6" s="10">
        <f>계좌설정!F6</f>
        <v/>
      </c>
      <c r="E6" s="17" t="n"/>
      <c r="F6" s="18" t="n"/>
      <c r="G6" s="11">
        <f>E6*F6</f>
        <v/>
      </c>
      <c r="H6" s="11">
        <f>SUMIF($A$5:$A$20,A6,$G$5:$G$20)</f>
        <v/>
      </c>
      <c r="I6" s="12">
        <f>IF(H6=0,0,G6/H6)</f>
        <v/>
      </c>
      <c r="J6" s="12">
        <f>계좌설정!G6</f>
        <v/>
      </c>
      <c r="K6" s="12">
        <f>I6-J6</f>
        <v/>
      </c>
      <c r="L6" s="11">
        <f>H6*J6</f>
        <v/>
      </c>
      <c r="M6" s="11">
        <f>L6-G6</f>
        <v/>
      </c>
      <c r="N6" s="10">
        <f>IF(F6=0,0,ROUND(M6/F6,0))</f>
        <v/>
      </c>
      <c r="O6" s="19">
        <f>IF(N6&gt;0,"매수",IF(N6&lt;0,"매도","유지"))</f>
        <v/>
      </c>
      <c r="P6" s="12">
        <f>ABS(K6)</f>
        <v/>
      </c>
    </row>
    <row r="7">
      <c r="A7" s="10">
        <f>계좌설정!A7</f>
        <v/>
      </c>
      <c r="B7" s="10">
        <f>계좌설정!C7</f>
        <v/>
      </c>
      <c r="C7" s="10">
        <f>계좌설정!E7</f>
        <v/>
      </c>
      <c r="D7" s="10">
        <f>계좌설정!F7</f>
        <v/>
      </c>
      <c r="E7" s="17" t="n"/>
      <c r="F7" s="18" t="n"/>
      <c r="G7" s="11">
        <f>E7*F7</f>
        <v/>
      </c>
      <c r="H7" s="11">
        <f>SUMIF($A$5:$A$20,A7,$G$5:$G$20)</f>
        <v/>
      </c>
      <c r="I7" s="12">
        <f>IF(H7=0,0,G7/H7)</f>
        <v/>
      </c>
      <c r="J7" s="12">
        <f>계좌설정!G7</f>
        <v/>
      </c>
      <c r="K7" s="12">
        <f>I7-J7</f>
        <v/>
      </c>
      <c r="L7" s="11">
        <f>H7*J7</f>
        <v/>
      </c>
      <c r="M7" s="11">
        <f>L7-G7</f>
        <v/>
      </c>
      <c r="N7" s="10">
        <f>IF(F7=0,0,ROUND(M7/F7,0))</f>
        <v/>
      </c>
      <c r="O7" s="19">
        <f>IF(N7&gt;0,"매수",IF(N7&lt;0,"매도","유지"))</f>
        <v/>
      </c>
      <c r="P7" s="12">
        <f>ABS(K7)</f>
        <v/>
      </c>
    </row>
    <row r="8">
      <c r="A8" s="10">
        <f>계좌설정!A8</f>
        <v/>
      </c>
      <c r="B8" s="10">
        <f>계좌설정!C8</f>
        <v/>
      </c>
      <c r="C8" s="10">
        <f>계좌설정!E8</f>
        <v/>
      </c>
      <c r="D8" s="10">
        <f>계좌설정!F8</f>
        <v/>
      </c>
      <c r="E8" s="17" t="n"/>
      <c r="F8" s="18" t="n"/>
      <c r="G8" s="11">
        <f>E8*F8</f>
        <v/>
      </c>
      <c r="H8" s="11">
        <f>SUMIF($A$5:$A$20,A8,$G$5:$G$20)</f>
        <v/>
      </c>
      <c r="I8" s="12">
        <f>IF(H8=0,0,G8/H8)</f>
        <v/>
      </c>
      <c r="J8" s="12">
        <f>계좌설정!G8</f>
        <v/>
      </c>
      <c r="K8" s="12">
        <f>I8-J8</f>
        <v/>
      </c>
      <c r="L8" s="11">
        <f>H8*J8</f>
        <v/>
      </c>
      <c r="M8" s="11">
        <f>L8-G8</f>
        <v/>
      </c>
      <c r="N8" s="10">
        <f>IF(F8=0,0,ROUND(M8/F8,0))</f>
        <v/>
      </c>
      <c r="O8" s="19">
        <f>IF(N8&gt;0,"매수",IF(N8&lt;0,"매도","유지"))</f>
        <v/>
      </c>
      <c r="P8" s="12">
        <f>ABS(K8)</f>
        <v/>
      </c>
    </row>
    <row r="9">
      <c r="A9" s="10">
        <f>계좌설정!A9</f>
        <v/>
      </c>
      <c r="B9" s="10">
        <f>계좌설정!C9</f>
        <v/>
      </c>
      <c r="C9" s="10">
        <f>계좌설정!E9</f>
        <v/>
      </c>
      <c r="D9" s="10">
        <f>계좌설정!F9</f>
        <v/>
      </c>
      <c r="E9" s="17" t="n"/>
      <c r="F9" s="18" t="n"/>
      <c r="G9" s="11">
        <f>E9*F9</f>
        <v/>
      </c>
      <c r="H9" s="11">
        <f>SUMIF($A$5:$A$20,A9,$G$5:$G$20)</f>
        <v/>
      </c>
      <c r="I9" s="12">
        <f>IF(H9=0,0,G9/H9)</f>
        <v/>
      </c>
      <c r="J9" s="12">
        <f>계좌설정!G9</f>
        <v/>
      </c>
      <c r="K9" s="12">
        <f>I9-J9</f>
        <v/>
      </c>
      <c r="L9" s="11">
        <f>H9*J9</f>
        <v/>
      </c>
      <c r="M9" s="11">
        <f>L9-G9</f>
        <v/>
      </c>
      <c r="N9" s="10">
        <f>IF(F9=0,0,ROUND(M9/F9,0))</f>
        <v/>
      </c>
      <c r="O9" s="19">
        <f>IF(N9&gt;0,"매수",IF(N9&lt;0,"매도","유지"))</f>
        <v/>
      </c>
      <c r="P9" s="12">
        <f>ABS(K9)</f>
        <v/>
      </c>
    </row>
    <row r="10">
      <c r="A10" s="10">
        <f>계좌설정!A10</f>
        <v/>
      </c>
      <c r="B10" s="10">
        <f>계좌설정!C10</f>
        <v/>
      </c>
      <c r="C10" s="10">
        <f>계좌설정!E10</f>
        <v/>
      </c>
      <c r="D10" s="10">
        <f>계좌설정!F10</f>
        <v/>
      </c>
      <c r="E10" s="17" t="n"/>
      <c r="F10" s="18" t="n"/>
      <c r="G10" s="11">
        <f>E10*F10</f>
        <v/>
      </c>
      <c r="H10" s="11">
        <f>SUMIF($A$5:$A$20,A10,$G$5:$G$20)</f>
        <v/>
      </c>
      <c r="I10" s="12">
        <f>IF(H10=0,0,G10/H10)</f>
        <v/>
      </c>
      <c r="J10" s="12">
        <f>계좌설정!G10</f>
        <v/>
      </c>
      <c r="K10" s="12">
        <f>I10-J10</f>
        <v/>
      </c>
      <c r="L10" s="11">
        <f>H10*J10</f>
        <v/>
      </c>
      <c r="M10" s="11">
        <f>L10-G10</f>
        <v/>
      </c>
      <c r="N10" s="10">
        <f>IF(F10=0,0,ROUND(M10/F10,0))</f>
        <v/>
      </c>
      <c r="O10" s="19">
        <f>IF(N10&gt;0,"매수",IF(N10&lt;0,"매도","유지"))</f>
        <v/>
      </c>
      <c r="P10" s="12">
        <f>ABS(K10)</f>
        <v/>
      </c>
    </row>
    <row r="11">
      <c r="A11" s="10">
        <f>계좌설정!A11</f>
        <v/>
      </c>
      <c r="B11" s="10">
        <f>계좌설정!C11</f>
        <v/>
      </c>
      <c r="C11" s="10">
        <f>계좌설정!E11</f>
        <v/>
      </c>
      <c r="D11" s="10">
        <f>계좌설정!F11</f>
        <v/>
      </c>
      <c r="E11" s="17" t="n"/>
      <c r="F11" s="18" t="n"/>
      <c r="G11" s="11">
        <f>E11*F11</f>
        <v/>
      </c>
      <c r="H11" s="11">
        <f>SUMIF($A$5:$A$20,A11,$G$5:$G$20)</f>
        <v/>
      </c>
      <c r="I11" s="12">
        <f>IF(H11=0,0,G11/H11)</f>
        <v/>
      </c>
      <c r="J11" s="12">
        <f>계좌설정!G11</f>
        <v/>
      </c>
      <c r="K11" s="12">
        <f>I11-J11</f>
        <v/>
      </c>
      <c r="L11" s="11">
        <f>H11*J11</f>
        <v/>
      </c>
      <c r="M11" s="11">
        <f>L11-G11</f>
        <v/>
      </c>
      <c r="N11" s="10">
        <f>IF(F11=0,0,ROUND(M11/F11,0))</f>
        <v/>
      </c>
      <c r="O11" s="19">
        <f>IF(N11&gt;0,"매수",IF(N11&lt;0,"매도","유지"))</f>
        <v/>
      </c>
      <c r="P11" s="12">
        <f>ABS(K11)</f>
        <v/>
      </c>
    </row>
    <row r="12">
      <c r="A12" s="10">
        <f>계좌설정!A12</f>
        <v/>
      </c>
      <c r="B12" s="10">
        <f>계좌설정!C12</f>
        <v/>
      </c>
      <c r="C12" s="10">
        <f>계좌설정!E12</f>
        <v/>
      </c>
      <c r="D12" s="10">
        <f>계좌설정!F12</f>
        <v/>
      </c>
      <c r="E12" s="17" t="n"/>
      <c r="F12" s="18" t="n"/>
      <c r="G12" s="11">
        <f>E12*F12</f>
        <v/>
      </c>
      <c r="H12" s="11">
        <f>SUMIF($A$5:$A$20,A12,$G$5:$G$20)</f>
        <v/>
      </c>
      <c r="I12" s="12">
        <f>IF(H12=0,0,G12/H12)</f>
        <v/>
      </c>
      <c r="J12" s="12">
        <f>계좌설정!G12</f>
        <v/>
      </c>
      <c r="K12" s="12">
        <f>I12-J12</f>
        <v/>
      </c>
      <c r="L12" s="11">
        <f>H12*J12</f>
        <v/>
      </c>
      <c r="M12" s="11">
        <f>L12-G12</f>
        <v/>
      </c>
      <c r="N12" s="10">
        <f>IF(F12=0,0,ROUND(M12/F12,0))</f>
        <v/>
      </c>
      <c r="O12" s="19">
        <f>IF(N12&gt;0,"매수",IF(N12&lt;0,"매도","유지"))</f>
        <v/>
      </c>
      <c r="P12" s="12">
        <f>ABS(K12)</f>
        <v/>
      </c>
    </row>
    <row r="13">
      <c r="A13" s="10">
        <f>계좌설정!A13</f>
        <v/>
      </c>
      <c r="B13" s="10">
        <f>계좌설정!C13</f>
        <v/>
      </c>
      <c r="C13" s="10">
        <f>계좌설정!E13</f>
        <v/>
      </c>
      <c r="D13" s="10">
        <f>계좌설정!F13</f>
        <v/>
      </c>
      <c r="E13" s="17" t="n"/>
      <c r="F13" s="18" t="n"/>
      <c r="G13" s="11">
        <f>E13*F13</f>
        <v/>
      </c>
      <c r="H13" s="11">
        <f>SUMIF($A$5:$A$20,A13,$G$5:$G$20)</f>
        <v/>
      </c>
      <c r="I13" s="12">
        <f>IF(H13=0,0,G13/H13)</f>
        <v/>
      </c>
      <c r="J13" s="12">
        <f>계좌설정!G13</f>
        <v/>
      </c>
      <c r="K13" s="12">
        <f>I13-J13</f>
        <v/>
      </c>
      <c r="L13" s="11">
        <f>H13*J13</f>
        <v/>
      </c>
      <c r="M13" s="11">
        <f>L13-G13</f>
        <v/>
      </c>
      <c r="N13" s="10">
        <f>IF(F13=0,0,ROUND(M13/F13,0))</f>
        <v/>
      </c>
      <c r="O13" s="19">
        <f>IF(N13&gt;0,"매수",IF(N13&lt;0,"매도","유지"))</f>
        <v/>
      </c>
      <c r="P13" s="12">
        <f>ABS(K13)</f>
        <v/>
      </c>
    </row>
    <row r="14">
      <c r="A14" s="10">
        <f>계좌설정!A14</f>
        <v/>
      </c>
      <c r="B14" s="10">
        <f>계좌설정!C14</f>
        <v/>
      </c>
      <c r="C14" s="10">
        <f>계좌설정!E14</f>
        <v/>
      </c>
      <c r="D14" s="10">
        <f>계좌설정!F14</f>
        <v/>
      </c>
      <c r="E14" s="17" t="n"/>
      <c r="F14" s="18" t="n"/>
      <c r="G14" s="11">
        <f>E14*F14</f>
        <v/>
      </c>
      <c r="H14" s="11">
        <f>SUMIF($A$5:$A$20,A14,$G$5:$G$20)</f>
        <v/>
      </c>
      <c r="I14" s="12">
        <f>IF(H14=0,0,G14/H14)</f>
        <v/>
      </c>
      <c r="J14" s="12">
        <f>계좌설정!G14</f>
        <v/>
      </c>
      <c r="K14" s="12">
        <f>I14-J14</f>
        <v/>
      </c>
      <c r="L14" s="11">
        <f>H14*J14</f>
        <v/>
      </c>
      <c r="M14" s="11">
        <f>L14-G14</f>
        <v/>
      </c>
      <c r="N14" s="10">
        <f>IF(F14=0,0,ROUND(M14/F14,0))</f>
        <v/>
      </c>
      <c r="O14" s="19">
        <f>IF(N14&gt;0,"매수",IF(N14&lt;0,"매도","유지"))</f>
        <v/>
      </c>
      <c r="P14" s="12">
        <f>ABS(K14)</f>
        <v/>
      </c>
    </row>
    <row r="15">
      <c r="A15" s="10">
        <f>계좌설정!A15</f>
        <v/>
      </c>
      <c r="B15" s="10">
        <f>계좌설정!C15</f>
        <v/>
      </c>
      <c r="C15" s="10">
        <f>계좌설정!E15</f>
        <v/>
      </c>
      <c r="D15" s="10">
        <f>계좌설정!F15</f>
        <v/>
      </c>
      <c r="E15" s="17" t="n"/>
      <c r="F15" s="18" t="n"/>
      <c r="G15" s="11">
        <f>E15*F15</f>
        <v/>
      </c>
      <c r="H15" s="11">
        <f>SUMIF($A$5:$A$20,A15,$G$5:$G$20)</f>
        <v/>
      </c>
      <c r="I15" s="12">
        <f>IF(H15=0,0,G15/H15)</f>
        <v/>
      </c>
      <c r="J15" s="12">
        <f>계좌설정!G15</f>
        <v/>
      </c>
      <c r="K15" s="12">
        <f>I15-J15</f>
        <v/>
      </c>
      <c r="L15" s="11">
        <f>H15*J15</f>
        <v/>
      </c>
      <c r="M15" s="11">
        <f>L15-G15</f>
        <v/>
      </c>
      <c r="N15" s="10">
        <f>IF(F15=0,0,ROUND(M15/F15,0))</f>
        <v/>
      </c>
      <c r="O15" s="19">
        <f>IF(N15&gt;0,"매수",IF(N15&lt;0,"매도","유지"))</f>
        <v/>
      </c>
      <c r="P15" s="12">
        <f>ABS(K15)</f>
        <v/>
      </c>
    </row>
    <row r="16">
      <c r="A16" s="10">
        <f>계좌설정!A16</f>
        <v/>
      </c>
      <c r="B16" s="10">
        <f>계좌설정!C16</f>
        <v/>
      </c>
      <c r="C16" s="10">
        <f>계좌설정!E16</f>
        <v/>
      </c>
      <c r="D16" s="10">
        <f>계좌설정!F16</f>
        <v/>
      </c>
      <c r="E16" s="17" t="n"/>
      <c r="F16" s="18" t="n"/>
      <c r="G16" s="11">
        <f>E16*F16</f>
        <v/>
      </c>
      <c r="H16" s="11">
        <f>SUMIF($A$5:$A$20,A16,$G$5:$G$20)</f>
        <v/>
      </c>
      <c r="I16" s="12">
        <f>IF(H16=0,0,G16/H16)</f>
        <v/>
      </c>
      <c r="J16" s="12">
        <f>계좌설정!G16</f>
        <v/>
      </c>
      <c r="K16" s="12">
        <f>I16-J16</f>
        <v/>
      </c>
      <c r="L16" s="11">
        <f>H16*J16</f>
        <v/>
      </c>
      <c r="M16" s="11">
        <f>L16-G16</f>
        <v/>
      </c>
      <c r="N16" s="10">
        <f>IF(F16=0,0,ROUND(M16/F16,0))</f>
        <v/>
      </c>
      <c r="O16" s="19">
        <f>IF(N16&gt;0,"매수",IF(N16&lt;0,"매도","유지"))</f>
        <v/>
      </c>
      <c r="P16" s="12">
        <f>ABS(K16)</f>
        <v/>
      </c>
    </row>
    <row r="17">
      <c r="A17" s="10">
        <f>계좌설정!A17</f>
        <v/>
      </c>
      <c r="B17" s="10">
        <f>계좌설정!C17</f>
        <v/>
      </c>
      <c r="C17" s="10">
        <f>계좌설정!E17</f>
        <v/>
      </c>
      <c r="D17" s="10">
        <f>계좌설정!F17</f>
        <v/>
      </c>
      <c r="E17" s="17" t="n"/>
      <c r="F17" s="18" t="n"/>
      <c r="G17" s="11">
        <f>E17*F17</f>
        <v/>
      </c>
      <c r="H17" s="11">
        <f>SUMIF($A$5:$A$20,A17,$G$5:$G$20)</f>
        <v/>
      </c>
      <c r="I17" s="12">
        <f>IF(H17=0,0,G17/H17)</f>
        <v/>
      </c>
      <c r="J17" s="12">
        <f>계좌설정!G17</f>
        <v/>
      </c>
      <c r="K17" s="12">
        <f>I17-J17</f>
        <v/>
      </c>
      <c r="L17" s="11">
        <f>H17*J17</f>
        <v/>
      </c>
      <c r="M17" s="11">
        <f>L17-G17</f>
        <v/>
      </c>
      <c r="N17" s="10">
        <f>IF(F17=0,0,ROUND(M17/F17,0))</f>
        <v/>
      </c>
      <c r="O17" s="19">
        <f>IF(N17&gt;0,"매수",IF(N17&lt;0,"매도","유지"))</f>
        <v/>
      </c>
      <c r="P17" s="12">
        <f>ABS(K17)</f>
        <v/>
      </c>
    </row>
    <row r="18">
      <c r="A18" s="10">
        <f>계좌설정!A18</f>
        <v/>
      </c>
      <c r="B18" s="10">
        <f>계좌설정!C18</f>
        <v/>
      </c>
      <c r="C18" s="10">
        <f>계좌설정!E18</f>
        <v/>
      </c>
      <c r="D18" s="10">
        <f>계좌설정!F18</f>
        <v/>
      </c>
      <c r="E18" s="17" t="n"/>
      <c r="F18" s="18" t="n"/>
      <c r="G18" s="11">
        <f>E18*F18</f>
        <v/>
      </c>
      <c r="H18" s="11">
        <f>SUMIF($A$5:$A$20,A18,$G$5:$G$20)</f>
        <v/>
      </c>
      <c r="I18" s="12">
        <f>IF(H18=0,0,G18/H18)</f>
        <v/>
      </c>
      <c r="J18" s="12">
        <f>계좌설정!G18</f>
        <v/>
      </c>
      <c r="K18" s="12">
        <f>I18-J18</f>
        <v/>
      </c>
      <c r="L18" s="11">
        <f>H18*J18</f>
        <v/>
      </c>
      <c r="M18" s="11">
        <f>L18-G18</f>
        <v/>
      </c>
      <c r="N18" s="10">
        <f>IF(F18=0,0,ROUND(M18/F18,0))</f>
        <v/>
      </c>
      <c r="O18" s="19">
        <f>IF(N18&gt;0,"매수",IF(N18&lt;0,"매도","유지"))</f>
        <v/>
      </c>
      <c r="P18" s="12">
        <f>ABS(K18)</f>
        <v/>
      </c>
    </row>
    <row r="19">
      <c r="A19" s="10">
        <f>계좌설정!A19</f>
        <v/>
      </c>
      <c r="B19" s="10">
        <f>계좌설정!C19</f>
        <v/>
      </c>
      <c r="C19" s="10">
        <f>계좌설정!E19</f>
        <v/>
      </c>
      <c r="D19" s="10">
        <f>계좌설정!F19</f>
        <v/>
      </c>
      <c r="E19" s="17" t="n"/>
      <c r="F19" s="18" t="n"/>
      <c r="G19" s="11">
        <f>E19*F19</f>
        <v/>
      </c>
      <c r="H19" s="11">
        <f>SUMIF($A$5:$A$20,A19,$G$5:$G$20)</f>
        <v/>
      </c>
      <c r="I19" s="12">
        <f>IF(H19=0,0,G19/H19)</f>
        <v/>
      </c>
      <c r="J19" s="12">
        <f>계좌설정!G19</f>
        <v/>
      </c>
      <c r="K19" s="12">
        <f>I19-J19</f>
        <v/>
      </c>
      <c r="L19" s="11">
        <f>H19*J19</f>
        <v/>
      </c>
      <c r="M19" s="11">
        <f>L19-G19</f>
        <v/>
      </c>
      <c r="N19" s="10">
        <f>IF(F19=0,0,ROUND(M19/F19,0))</f>
        <v/>
      </c>
      <c r="O19" s="19">
        <f>IF(N19&gt;0,"매수",IF(N19&lt;0,"매도","유지"))</f>
        <v/>
      </c>
      <c r="P19" s="12">
        <f>ABS(K19)</f>
        <v/>
      </c>
    </row>
    <row r="20">
      <c r="A20" s="10">
        <f>계좌설정!A20</f>
        <v/>
      </c>
      <c r="B20" s="10">
        <f>계좌설정!C20</f>
        <v/>
      </c>
      <c r="C20" s="10">
        <f>계좌설정!E20</f>
        <v/>
      </c>
      <c r="D20" s="10">
        <f>계좌설정!F20</f>
        <v/>
      </c>
      <c r="E20" s="17" t="n"/>
      <c r="F20" s="18" t="n"/>
      <c r="G20" s="11">
        <f>E20*F20</f>
        <v/>
      </c>
      <c r="H20" s="11">
        <f>SUMIF($A$5:$A$20,A20,$G$5:$G$20)</f>
        <v/>
      </c>
      <c r="I20" s="12">
        <f>IF(H20=0,0,G20/H20)</f>
        <v/>
      </c>
      <c r="J20" s="12">
        <f>계좌설정!G20</f>
        <v/>
      </c>
      <c r="K20" s="12">
        <f>I20-J20</f>
        <v/>
      </c>
      <c r="L20" s="11">
        <f>H20*J20</f>
        <v/>
      </c>
      <c r="M20" s="11">
        <f>L20-G20</f>
        <v/>
      </c>
      <c r="N20" s="10">
        <f>IF(F20=0,0,ROUND(M20/F20,0))</f>
        <v/>
      </c>
      <c r="O20" s="19">
        <f>IF(N20&gt;0,"매수",IF(N20&lt;0,"매도","유지"))</f>
        <v/>
      </c>
      <c r="P20" s="12">
        <f>ABS(K20)</f>
        <v/>
      </c>
    </row>
    <row r="21">
      <c r="A21" s="10" t="n"/>
      <c r="B21" s="10" t="n"/>
      <c r="C21" s="10" t="n"/>
      <c r="D21" s="20" t="inlineStr">
        <is>
          <t>총계</t>
        </is>
      </c>
      <c r="E21" s="10" t="n"/>
      <c r="F21" s="10" t="n"/>
      <c r="G21" s="21">
        <f>SUM(G5:G20)</f>
        <v/>
      </c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</row>
  </sheetData>
  <conditionalFormatting sqref="K5:K20">
    <cfRule type="cellIs" priority="1" operator="greaterThan" dxfId="1">
      <formula>0.05</formula>
    </cfRule>
    <cfRule type="cellIs" priority="2" operator="lessThan" dxfId="1">
      <formula>-0.05</formula>
    </cfRule>
  </conditionalFormatting>
  <conditionalFormatting sqref="O5:O20">
    <cfRule type="cellIs" priority="3" operator="equal" dxfId="2">
      <formula>"매수"</formula>
    </cfRule>
    <cfRule type="cellIs" priority="4" operator="equal" dxfId="1">
      <formula>"매도"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0" customWidth="1" min="3" max="3"/>
    <col width="16" customWidth="1" min="4" max="4"/>
    <col width="10" customWidth="1" min="5" max="5"/>
    <col width="24" customWidth="1" min="6" max="6"/>
    <col width="8" customWidth="1" min="7" max="7"/>
    <col width="10" customWidth="1" min="8" max="8"/>
    <col width="12" customWidth="1" min="9" max="9"/>
    <col width="14" customWidth="1" min="10" max="10"/>
    <col width="24" customWidth="1" min="11" max="11"/>
  </cols>
  <sheetData>
    <row r="1">
      <c r="A1" s="13" t="inlineStr">
        <is>
          <t>리밸런싱 실행 히스토리 (체결 로그)</t>
        </is>
      </c>
    </row>
    <row r="2">
      <c r="A2" s="22" t="inlineStr">
        <is>
          <t>실제로 매수/매도를 체결한 후 한 줄씩 기록하세요. 계좌별칭·ETF명은 계좌설정을 참조해 자동 표시됩니다.</t>
        </is>
      </c>
    </row>
    <row r="4">
      <c r="A4" s="9" t="inlineStr">
        <is>
          <t>날짜</t>
        </is>
      </c>
      <c r="B4" s="9" t="inlineStr">
        <is>
          <t>분기</t>
        </is>
      </c>
      <c r="C4" s="9" t="inlineStr">
        <is>
          <t>계좌ID</t>
        </is>
      </c>
      <c r="D4" s="9" t="inlineStr">
        <is>
          <t>계좌별칭</t>
        </is>
      </c>
      <c r="E4" s="9" t="inlineStr">
        <is>
          <t>티커</t>
        </is>
      </c>
      <c r="F4" s="9" t="inlineStr">
        <is>
          <t>ETF명</t>
        </is>
      </c>
      <c r="G4" s="9" t="inlineStr">
        <is>
          <t>액션</t>
        </is>
      </c>
      <c r="H4" s="9" t="inlineStr">
        <is>
          <t>수량</t>
        </is>
      </c>
      <c r="I4" s="9" t="inlineStr">
        <is>
          <t>체결단가</t>
        </is>
      </c>
      <c r="J4" s="9" t="inlineStr">
        <is>
          <t>거래금액</t>
        </is>
      </c>
      <c r="K4" s="9" t="inlineStr">
        <is>
          <t>메모</t>
        </is>
      </c>
    </row>
    <row r="5">
      <c r="A5" s="23" t="inlineStr">
        <is>
          <t>2026-07-04</t>
        </is>
      </c>
      <c r="B5" s="10">
        <f>IF(A5="","",YEAR(A5)&amp;"Q"&amp;ROUNDUP(MONTH(A5)/3,0))</f>
        <v/>
      </c>
      <c r="C5" s="10" t="inlineStr">
        <is>
          <t>A1</t>
        </is>
      </c>
      <c r="D5" s="10">
        <f>IF(C5="","",VLOOKUP(C5,계좌설정!$A:$C,3,FALSE))</f>
        <v/>
      </c>
      <c r="E5" s="10" t="inlineStr">
        <is>
          <t>379800</t>
        </is>
      </c>
      <c r="F5" s="10">
        <f>IF(E5="","",VLOOKUP(E5,계좌설정!$E:$F,2,FALSE))</f>
        <v/>
      </c>
      <c r="G5" s="10" t="inlineStr">
        <is>
          <t>매수</t>
        </is>
      </c>
      <c r="H5" s="10" t="n">
        <v>5</v>
      </c>
      <c r="I5" s="24" t="n">
        <v>18500</v>
      </c>
      <c r="J5" s="11">
        <f>IF(OR(H5="",I5=""),"",H5*I5)</f>
        <v/>
      </c>
      <c r="K5" s="10" t="inlineStr">
        <is>
          <t>분기 리밸런싱 (예시 행 - 삭제 후 사용)</t>
        </is>
      </c>
    </row>
    <row r="6">
      <c r="A6" s="23" t="n"/>
      <c r="B6" s="10">
        <f>IF(A6="","",YEAR(A6)&amp;"Q"&amp;ROUNDUP(MONTH(A6)/3,0))</f>
        <v/>
      </c>
      <c r="C6" s="10" t="n"/>
      <c r="D6" s="10">
        <f>IF(C6="","",VLOOKUP(C6,계좌설정!$A:$C,3,FALSE))</f>
        <v/>
      </c>
      <c r="E6" s="10" t="n"/>
      <c r="F6" s="10">
        <f>IF(E6="","",VLOOKUP(E6,계좌설정!$E:$F,2,FALSE))</f>
        <v/>
      </c>
      <c r="G6" s="10" t="n"/>
      <c r="H6" s="10" t="n"/>
      <c r="I6" s="24" t="n"/>
      <c r="J6" s="11">
        <f>IF(OR(H6="",I6=""),"",H6*I6)</f>
        <v/>
      </c>
      <c r="K6" s="10" t="n"/>
    </row>
    <row r="7">
      <c r="A7" s="23" t="n"/>
      <c r="B7" s="10">
        <f>IF(A7="","",YEAR(A7)&amp;"Q"&amp;ROUNDUP(MONTH(A7)/3,0))</f>
        <v/>
      </c>
      <c r="C7" s="10" t="n"/>
      <c r="D7" s="10">
        <f>IF(C7="","",VLOOKUP(C7,계좌설정!$A:$C,3,FALSE))</f>
        <v/>
      </c>
      <c r="E7" s="10" t="n"/>
      <c r="F7" s="10">
        <f>IF(E7="","",VLOOKUP(E7,계좌설정!$E:$F,2,FALSE))</f>
        <v/>
      </c>
      <c r="G7" s="10" t="n"/>
      <c r="H7" s="10" t="n"/>
      <c r="I7" s="24" t="n"/>
      <c r="J7" s="11">
        <f>IF(OR(H7="",I7=""),"",H7*I7)</f>
        <v/>
      </c>
      <c r="K7" s="10" t="n"/>
    </row>
    <row r="8">
      <c r="A8" s="23" t="n"/>
      <c r="B8" s="10">
        <f>IF(A8="","",YEAR(A8)&amp;"Q"&amp;ROUNDUP(MONTH(A8)/3,0))</f>
        <v/>
      </c>
      <c r="C8" s="10" t="n"/>
      <c r="D8" s="10">
        <f>IF(C8="","",VLOOKUP(C8,계좌설정!$A:$C,3,FALSE))</f>
        <v/>
      </c>
      <c r="E8" s="10" t="n"/>
      <c r="F8" s="10">
        <f>IF(E8="","",VLOOKUP(E8,계좌설정!$E:$F,2,FALSE))</f>
        <v/>
      </c>
      <c r="G8" s="10" t="n"/>
      <c r="H8" s="10" t="n"/>
      <c r="I8" s="24" t="n"/>
      <c r="J8" s="11">
        <f>IF(OR(H8="",I8=""),"",H8*I8)</f>
        <v/>
      </c>
      <c r="K8" s="10" t="n"/>
    </row>
    <row r="9">
      <c r="A9" s="23" t="n"/>
      <c r="B9" s="10">
        <f>IF(A9="","",YEAR(A9)&amp;"Q"&amp;ROUNDUP(MONTH(A9)/3,0))</f>
        <v/>
      </c>
      <c r="C9" s="10" t="n"/>
      <c r="D9" s="10">
        <f>IF(C9="","",VLOOKUP(C9,계좌설정!$A:$C,3,FALSE))</f>
        <v/>
      </c>
      <c r="E9" s="10" t="n"/>
      <c r="F9" s="10">
        <f>IF(E9="","",VLOOKUP(E9,계좌설정!$E:$F,2,FALSE))</f>
        <v/>
      </c>
      <c r="G9" s="10" t="n"/>
      <c r="H9" s="10" t="n"/>
      <c r="I9" s="24" t="n"/>
      <c r="J9" s="11">
        <f>IF(OR(H9="",I9=""),"",H9*I9)</f>
        <v/>
      </c>
      <c r="K9" s="10" t="n"/>
    </row>
    <row r="10">
      <c r="A10" s="23" t="n"/>
      <c r="B10" s="10">
        <f>IF(A10="","",YEAR(A10)&amp;"Q"&amp;ROUNDUP(MONTH(A10)/3,0))</f>
        <v/>
      </c>
      <c r="C10" s="10" t="n"/>
      <c r="D10" s="10">
        <f>IF(C10="","",VLOOKUP(C10,계좌설정!$A:$C,3,FALSE))</f>
        <v/>
      </c>
      <c r="E10" s="10" t="n"/>
      <c r="F10" s="10">
        <f>IF(E10="","",VLOOKUP(E10,계좌설정!$E:$F,2,FALSE))</f>
        <v/>
      </c>
      <c r="G10" s="10" t="n"/>
      <c r="H10" s="10" t="n"/>
      <c r="I10" s="24" t="n"/>
      <c r="J10" s="11">
        <f>IF(OR(H10="",I10=""),"",H10*I10)</f>
        <v/>
      </c>
      <c r="K10" s="10" t="n"/>
    </row>
    <row r="11">
      <c r="A11" s="23" t="n"/>
      <c r="B11" s="10">
        <f>IF(A11="","",YEAR(A11)&amp;"Q"&amp;ROUNDUP(MONTH(A11)/3,0))</f>
        <v/>
      </c>
      <c r="C11" s="10" t="n"/>
      <c r="D11" s="10">
        <f>IF(C11="","",VLOOKUP(C11,계좌설정!$A:$C,3,FALSE))</f>
        <v/>
      </c>
      <c r="E11" s="10" t="n"/>
      <c r="F11" s="10">
        <f>IF(E11="","",VLOOKUP(E11,계좌설정!$E:$F,2,FALSE))</f>
        <v/>
      </c>
      <c r="G11" s="10" t="n"/>
      <c r="H11" s="10" t="n"/>
      <c r="I11" s="24" t="n"/>
      <c r="J11" s="11">
        <f>IF(OR(H11="",I11=""),"",H11*I11)</f>
        <v/>
      </c>
      <c r="K11" s="10" t="n"/>
    </row>
    <row r="12">
      <c r="A12" s="23" t="n"/>
      <c r="B12" s="10">
        <f>IF(A12="","",YEAR(A12)&amp;"Q"&amp;ROUNDUP(MONTH(A12)/3,0))</f>
        <v/>
      </c>
      <c r="C12" s="10" t="n"/>
      <c r="D12" s="10">
        <f>IF(C12="","",VLOOKUP(C12,계좌설정!$A:$C,3,FALSE))</f>
        <v/>
      </c>
      <c r="E12" s="10" t="n"/>
      <c r="F12" s="10">
        <f>IF(E12="","",VLOOKUP(E12,계좌설정!$E:$F,2,FALSE))</f>
        <v/>
      </c>
      <c r="G12" s="10" t="n"/>
      <c r="H12" s="10" t="n"/>
      <c r="I12" s="24" t="n"/>
      <c r="J12" s="11">
        <f>IF(OR(H12="",I12=""),"",H12*I12)</f>
        <v/>
      </c>
      <c r="K12" s="10" t="n"/>
    </row>
    <row r="13">
      <c r="A13" s="23" t="n"/>
      <c r="B13" s="10">
        <f>IF(A13="","",YEAR(A13)&amp;"Q"&amp;ROUNDUP(MONTH(A13)/3,0))</f>
        <v/>
      </c>
      <c r="C13" s="10" t="n"/>
      <c r="D13" s="10">
        <f>IF(C13="","",VLOOKUP(C13,계좌설정!$A:$C,3,FALSE))</f>
        <v/>
      </c>
      <c r="E13" s="10" t="n"/>
      <c r="F13" s="10">
        <f>IF(E13="","",VLOOKUP(E13,계좌설정!$E:$F,2,FALSE))</f>
        <v/>
      </c>
      <c r="G13" s="10" t="n"/>
      <c r="H13" s="10" t="n"/>
      <c r="I13" s="24" t="n"/>
      <c r="J13" s="11">
        <f>IF(OR(H13="",I13=""),"",H13*I13)</f>
        <v/>
      </c>
      <c r="K13" s="10" t="n"/>
    </row>
    <row r="14">
      <c r="A14" s="23" t="n"/>
      <c r="B14" s="10">
        <f>IF(A14="","",YEAR(A14)&amp;"Q"&amp;ROUNDUP(MONTH(A14)/3,0))</f>
        <v/>
      </c>
      <c r="C14" s="10" t="n"/>
      <c r="D14" s="10">
        <f>IF(C14="","",VLOOKUP(C14,계좌설정!$A:$C,3,FALSE))</f>
        <v/>
      </c>
      <c r="E14" s="10" t="n"/>
      <c r="F14" s="10">
        <f>IF(E14="","",VLOOKUP(E14,계좌설정!$E:$F,2,FALSE))</f>
        <v/>
      </c>
      <c r="G14" s="10" t="n"/>
      <c r="H14" s="10" t="n"/>
      <c r="I14" s="24" t="n"/>
      <c r="J14" s="11">
        <f>IF(OR(H14="",I14=""),"",H14*I14)</f>
        <v/>
      </c>
      <c r="K14" s="10" t="n"/>
    </row>
    <row r="15">
      <c r="A15" s="23" t="n"/>
      <c r="B15" s="10">
        <f>IF(A15="","",YEAR(A15)&amp;"Q"&amp;ROUNDUP(MONTH(A15)/3,0))</f>
        <v/>
      </c>
      <c r="C15" s="10" t="n"/>
      <c r="D15" s="10">
        <f>IF(C15="","",VLOOKUP(C15,계좌설정!$A:$C,3,FALSE))</f>
        <v/>
      </c>
      <c r="E15" s="10" t="n"/>
      <c r="F15" s="10">
        <f>IF(E15="","",VLOOKUP(E15,계좌설정!$E:$F,2,FALSE))</f>
        <v/>
      </c>
      <c r="G15" s="10" t="n"/>
      <c r="H15" s="10" t="n"/>
      <c r="I15" s="24" t="n"/>
      <c r="J15" s="11">
        <f>IF(OR(H15="",I15=""),"",H15*I15)</f>
        <v/>
      </c>
      <c r="K15" s="10" t="n"/>
    </row>
    <row r="16">
      <c r="A16" s="23" t="n"/>
      <c r="B16" s="10">
        <f>IF(A16="","",YEAR(A16)&amp;"Q"&amp;ROUNDUP(MONTH(A16)/3,0))</f>
        <v/>
      </c>
      <c r="C16" s="10" t="n"/>
      <c r="D16" s="10">
        <f>IF(C16="","",VLOOKUP(C16,계좌설정!$A:$C,3,FALSE))</f>
        <v/>
      </c>
      <c r="E16" s="10" t="n"/>
      <c r="F16" s="10">
        <f>IF(E16="","",VLOOKUP(E16,계좌설정!$E:$F,2,FALSE))</f>
        <v/>
      </c>
      <c r="G16" s="10" t="n"/>
      <c r="H16" s="10" t="n"/>
      <c r="I16" s="24" t="n"/>
      <c r="J16" s="11">
        <f>IF(OR(H16="",I16=""),"",H16*I16)</f>
        <v/>
      </c>
      <c r="K16" s="10" t="n"/>
    </row>
    <row r="17">
      <c r="A17" s="23" t="n"/>
      <c r="B17" s="10">
        <f>IF(A17="","",YEAR(A17)&amp;"Q"&amp;ROUNDUP(MONTH(A17)/3,0))</f>
        <v/>
      </c>
      <c r="C17" s="10" t="n"/>
      <c r="D17" s="10">
        <f>IF(C17="","",VLOOKUP(C17,계좌설정!$A:$C,3,FALSE))</f>
        <v/>
      </c>
      <c r="E17" s="10" t="n"/>
      <c r="F17" s="10">
        <f>IF(E17="","",VLOOKUP(E17,계좌설정!$E:$F,2,FALSE))</f>
        <v/>
      </c>
      <c r="G17" s="10" t="n"/>
      <c r="H17" s="10" t="n"/>
      <c r="I17" s="24" t="n"/>
      <c r="J17" s="11">
        <f>IF(OR(H17="",I17=""),"",H17*I17)</f>
        <v/>
      </c>
      <c r="K17" s="10" t="n"/>
    </row>
    <row r="18">
      <c r="A18" s="23" t="n"/>
      <c r="B18" s="10">
        <f>IF(A18="","",YEAR(A18)&amp;"Q"&amp;ROUNDUP(MONTH(A18)/3,0))</f>
        <v/>
      </c>
      <c r="C18" s="10" t="n"/>
      <c r="D18" s="10">
        <f>IF(C18="","",VLOOKUP(C18,계좌설정!$A:$C,3,FALSE))</f>
        <v/>
      </c>
      <c r="E18" s="10" t="n"/>
      <c r="F18" s="10">
        <f>IF(E18="","",VLOOKUP(E18,계좌설정!$E:$F,2,FALSE))</f>
        <v/>
      </c>
      <c r="G18" s="10" t="n"/>
      <c r="H18" s="10" t="n"/>
      <c r="I18" s="24" t="n"/>
      <c r="J18" s="11">
        <f>IF(OR(H18="",I18=""),"",H18*I18)</f>
        <v/>
      </c>
      <c r="K18" s="10" t="n"/>
    </row>
    <row r="19">
      <c r="A19" s="23" t="n"/>
      <c r="B19" s="10">
        <f>IF(A19="","",YEAR(A19)&amp;"Q"&amp;ROUNDUP(MONTH(A19)/3,0))</f>
        <v/>
      </c>
      <c r="C19" s="10" t="n"/>
      <c r="D19" s="10">
        <f>IF(C19="","",VLOOKUP(C19,계좌설정!$A:$C,3,FALSE))</f>
        <v/>
      </c>
      <c r="E19" s="10" t="n"/>
      <c r="F19" s="10">
        <f>IF(E19="","",VLOOKUP(E19,계좌설정!$E:$F,2,FALSE))</f>
        <v/>
      </c>
      <c r="G19" s="10" t="n"/>
      <c r="H19" s="10" t="n"/>
      <c r="I19" s="24" t="n"/>
      <c r="J19" s="11">
        <f>IF(OR(H19="",I19=""),"",H19*I19)</f>
        <v/>
      </c>
      <c r="K19" s="10" t="n"/>
    </row>
    <row r="20">
      <c r="A20" s="23" t="n"/>
      <c r="B20" s="10">
        <f>IF(A20="","",YEAR(A20)&amp;"Q"&amp;ROUNDUP(MONTH(A20)/3,0))</f>
        <v/>
      </c>
      <c r="C20" s="10" t="n"/>
      <c r="D20" s="10">
        <f>IF(C20="","",VLOOKUP(C20,계좌설정!$A:$C,3,FALSE))</f>
        <v/>
      </c>
      <c r="E20" s="10" t="n"/>
      <c r="F20" s="10">
        <f>IF(E20="","",VLOOKUP(E20,계좌설정!$E:$F,2,FALSE))</f>
        <v/>
      </c>
      <c r="G20" s="10" t="n"/>
      <c r="H20" s="10" t="n"/>
      <c r="I20" s="24" t="n"/>
      <c r="J20" s="11">
        <f>IF(OR(H20="",I20=""),"",H20*I20)</f>
        <v/>
      </c>
      <c r="K20" s="10" t="n"/>
    </row>
    <row r="21">
      <c r="A21" s="23" t="n"/>
      <c r="B21" s="10">
        <f>IF(A21="","",YEAR(A21)&amp;"Q"&amp;ROUNDUP(MONTH(A21)/3,0))</f>
        <v/>
      </c>
      <c r="C21" s="10" t="n"/>
      <c r="D21" s="10">
        <f>IF(C21="","",VLOOKUP(C21,계좌설정!$A:$C,3,FALSE))</f>
        <v/>
      </c>
      <c r="E21" s="10" t="n"/>
      <c r="F21" s="10">
        <f>IF(E21="","",VLOOKUP(E21,계좌설정!$E:$F,2,FALSE))</f>
        <v/>
      </c>
      <c r="G21" s="10" t="n"/>
      <c r="H21" s="10" t="n"/>
      <c r="I21" s="24" t="n"/>
      <c r="J21" s="11">
        <f>IF(OR(H21="",I21=""),"",H21*I21)</f>
        <v/>
      </c>
      <c r="K21" s="10" t="n"/>
    </row>
    <row r="22">
      <c r="A22" s="23" t="n"/>
      <c r="B22" s="10">
        <f>IF(A22="","",YEAR(A22)&amp;"Q"&amp;ROUNDUP(MONTH(A22)/3,0))</f>
        <v/>
      </c>
      <c r="C22" s="10" t="n"/>
      <c r="D22" s="10">
        <f>IF(C22="","",VLOOKUP(C22,계좌설정!$A:$C,3,FALSE))</f>
        <v/>
      </c>
      <c r="E22" s="10" t="n"/>
      <c r="F22" s="10">
        <f>IF(E22="","",VLOOKUP(E22,계좌설정!$E:$F,2,FALSE))</f>
        <v/>
      </c>
      <c r="G22" s="10" t="n"/>
      <c r="H22" s="10" t="n"/>
      <c r="I22" s="24" t="n"/>
      <c r="J22" s="11">
        <f>IF(OR(H22="",I22=""),"",H22*I22)</f>
        <v/>
      </c>
      <c r="K22" s="10" t="n"/>
    </row>
    <row r="23">
      <c r="A23" s="23" t="n"/>
      <c r="B23" s="10">
        <f>IF(A23="","",YEAR(A23)&amp;"Q"&amp;ROUNDUP(MONTH(A23)/3,0))</f>
        <v/>
      </c>
      <c r="C23" s="10" t="n"/>
      <c r="D23" s="10">
        <f>IF(C23="","",VLOOKUP(C23,계좌설정!$A:$C,3,FALSE))</f>
        <v/>
      </c>
      <c r="E23" s="10" t="n"/>
      <c r="F23" s="10">
        <f>IF(E23="","",VLOOKUP(E23,계좌설정!$E:$F,2,FALSE))</f>
        <v/>
      </c>
      <c r="G23" s="10" t="n"/>
      <c r="H23" s="10" t="n"/>
      <c r="I23" s="24" t="n"/>
      <c r="J23" s="11">
        <f>IF(OR(H23="",I23=""),"",H23*I23)</f>
        <v/>
      </c>
      <c r="K23" s="10" t="n"/>
    </row>
    <row r="24">
      <c r="A24" s="23" t="n"/>
      <c r="B24" s="10">
        <f>IF(A24="","",YEAR(A24)&amp;"Q"&amp;ROUNDUP(MONTH(A24)/3,0))</f>
        <v/>
      </c>
      <c r="C24" s="10" t="n"/>
      <c r="D24" s="10">
        <f>IF(C24="","",VLOOKUP(C24,계좌설정!$A:$C,3,FALSE))</f>
        <v/>
      </c>
      <c r="E24" s="10" t="n"/>
      <c r="F24" s="10">
        <f>IF(E24="","",VLOOKUP(E24,계좌설정!$E:$F,2,FALSE))</f>
        <v/>
      </c>
      <c r="G24" s="10" t="n"/>
      <c r="H24" s="10" t="n"/>
      <c r="I24" s="24" t="n"/>
      <c r="J24" s="11">
        <f>IF(OR(H24="",I24=""),"",H24*I24)</f>
        <v/>
      </c>
      <c r="K24" s="10" t="n"/>
    </row>
    <row r="25">
      <c r="A25" s="23" t="n"/>
      <c r="B25" s="10">
        <f>IF(A25="","",YEAR(A25)&amp;"Q"&amp;ROUNDUP(MONTH(A25)/3,0))</f>
        <v/>
      </c>
      <c r="C25" s="10" t="n"/>
      <c r="D25" s="10">
        <f>IF(C25="","",VLOOKUP(C25,계좌설정!$A:$C,3,FALSE))</f>
        <v/>
      </c>
      <c r="E25" s="10" t="n"/>
      <c r="F25" s="10">
        <f>IF(E25="","",VLOOKUP(E25,계좌설정!$E:$F,2,FALSE))</f>
        <v/>
      </c>
      <c r="G25" s="10" t="n"/>
      <c r="H25" s="10" t="n"/>
      <c r="I25" s="24" t="n"/>
      <c r="J25" s="11">
        <f>IF(OR(H25="",I25=""),"",H25*I25)</f>
        <v/>
      </c>
      <c r="K25" s="10" t="n"/>
    </row>
    <row r="26">
      <c r="A26" s="23" t="n"/>
      <c r="B26" s="10">
        <f>IF(A26="","",YEAR(A26)&amp;"Q"&amp;ROUNDUP(MONTH(A26)/3,0))</f>
        <v/>
      </c>
      <c r="C26" s="10" t="n"/>
      <c r="D26" s="10">
        <f>IF(C26="","",VLOOKUP(C26,계좌설정!$A:$C,3,FALSE))</f>
        <v/>
      </c>
      <c r="E26" s="10" t="n"/>
      <c r="F26" s="10">
        <f>IF(E26="","",VLOOKUP(E26,계좌설정!$E:$F,2,FALSE))</f>
        <v/>
      </c>
      <c r="G26" s="10" t="n"/>
      <c r="H26" s="10" t="n"/>
      <c r="I26" s="24" t="n"/>
      <c r="J26" s="11">
        <f>IF(OR(H26="",I26=""),"",H26*I26)</f>
        <v/>
      </c>
      <c r="K26" s="10" t="n"/>
    </row>
    <row r="27">
      <c r="A27" s="23" t="n"/>
      <c r="B27" s="10">
        <f>IF(A27="","",YEAR(A27)&amp;"Q"&amp;ROUNDUP(MONTH(A27)/3,0))</f>
        <v/>
      </c>
      <c r="C27" s="10" t="n"/>
      <c r="D27" s="10">
        <f>IF(C27="","",VLOOKUP(C27,계좌설정!$A:$C,3,FALSE))</f>
        <v/>
      </c>
      <c r="E27" s="10" t="n"/>
      <c r="F27" s="10">
        <f>IF(E27="","",VLOOKUP(E27,계좌설정!$E:$F,2,FALSE))</f>
        <v/>
      </c>
      <c r="G27" s="10" t="n"/>
      <c r="H27" s="10" t="n"/>
      <c r="I27" s="24" t="n"/>
      <c r="J27" s="11">
        <f>IF(OR(H27="",I27=""),"",H27*I27)</f>
        <v/>
      </c>
      <c r="K27" s="10" t="n"/>
    </row>
    <row r="28">
      <c r="A28" s="23" t="n"/>
      <c r="B28" s="10">
        <f>IF(A28="","",YEAR(A28)&amp;"Q"&amp;ROUNDUP(MONTH(A28)/3,0))</f>
        <v/>
      </c>
      <c r="C28" s="10" t="n"/>
      <c r="D28" s="10">
        <f>IF(C28="","",VLOOKUP(C28,계좌설정!$A:$C,3,FALSE))</f>
        <v/>
      </c>
      <c r="E28" s="10" t="n"/>
      <c r="F28" s="10">
        <f>IF(E28="","",VLOOKUP(E28,계좌설정!$E:$F,2,FALSE))</f>
        <v/>
      </c>
      <c r="G28" s="10" t="n"/>
      <c r="H28" s="10" t="n"/>
      <c r="I28" s="24" t="n"/>
      <c r="J28" s="11">
        <f>IF(OR(H28="",I28=""),"",H28*I28)</f>
        <v/>
      </c>
      <c r="K28" s="10" t="n"/>
    </row>
    <row r="29">
      <c r="A29" s="23" t="n"/>
      <c r="B29" s="10">
        <f>IF(A29="","",YEAR(A29)&amp;"Q"&amp;ROUNDUP(MONTH(A29)/3,0))</f>
        <v/>
      </c>
      <c r="C29" s="10" t="n"/>
      <c r="D29" s="10">
        <f>IF(C29="","",VLOOKUP(C29,계좌설정!$A:$C,3,FALSE))</f>
        <v/>
      </c>
      <c r="E29" s="10" t="n"/>
      <c r="F29" s="10">
        <f>IF(E29="","",VLOOKUP(E29,계좌설정!$E:$F,2,FALSE))</f>
        <v/>
      </c>
      <c r="G29" s="10" t="n"/>
      <c r="H29" s="10" t="n"/>
      <c r="I29" s="24" t="n"/>
      <c r="J29" s="11">
        <f>IF(OR(H29="",I29=""),"",H29*I29)</f>
        <v/>
      </c>
      <c r="K29" s="10" t="n"/>
    </row>
    <row r="30">
      <c r="A30" s="23" t="n"/>
      <c r="B30" s="10">
        <f>IF(A30="","",YEAR(A30)&amp;"Q"&amp;ROUNDUP(MONTH(A30)/3,0))</f>
        <v/>
      </c>
      <c r="C30" s="10" t="n"/>
      <c r="D30" s="10">
        <f>IF(C30="","",VLOOKUP(C30,계좌설정!$A:$C,3,FALSE))</f>
        <v/>
      </c>
      <c r="E30" s="10" t="n"/>
      <c r="F30" s="10">
        <f>IF(E30="","",VLOOKUP(E30,계좌설정!$E:$F,2,FALSE))</f>
        <v/>
      </c>
      <c r="G30" s="10" t="n"/>
      <c r="H30" s="10" t="n"/>
      <c r="I30" s="24" t="n"/>
      <c r="J30" s="11">
        <f>IF(OR(H30="",I30=""),"",H30*I30)</f>
        <v/>
      </c>
      <c r="K30" s="10" t="n"/>
    </row>
    <row r="31">
      <c r="A31" s="23" t="n"/>
      <c r="B31" s="10">
        <f>IF(A31="","",YEAR(A31)&amp;"Q"&amp;ROUNDUP(MONTH(A31)/3,0))</f>
        <v/>
      </c>
      <c r="C31" s="10" t="n"/>
      <c r="D31" s="10">
        <f>IF(C31="","",VLOOKUP(C31,계좌설정!$A:$C,3,FALSE))</f>
        <v/>
      </c>
      <c r="E31" s="10" t="n"/>
      <c r="F31" s="10">
        <f>IF(E31="","",VLOOKUP(E31,계좌설정!$E:$F,2,FALSE))</f>
        <v/>
      </c>
      <c r="G31" s="10" t="n"/>
      <c r="H31" s="10" t="n"/>
      <c r="I31" s="24" t="n"/>
      <c r="J31" s="11">
        <f>IF(OR(H31="",I31=""),"",H31*I31)</f>
        <v/>
      </c>
      <c r="K31" s="10" t="n"/>
    </row>
    <row r="32">
      <c r="A32" s="23" t="n"/>
      <c r="B32" s="10">
        <f>IF(A32="","",YEAR(A32)&amp;"Q"&amp;ROUNDUP(MONTH(A32)/3,0))</f>
        <v/>
      </c>
      <c r="C32" s="10" t="n"/>
      <c r="D32" s="10">
        <f>IF(C32="","",VLOOKUP(C32,계좌설정!$A:$C,3,FALSE))</f>
        <v/>
      </c>
      <c r="E32" s="10" t="n"/>
      <c r="F32" s="10">
        <f>IF(E32="","",VLOOKUP(E32,계좌설정!$E:$F,2,FALSE))</f>
        <v/>
      </c>
      <c r="G32" s="10" t="n"/>
      <c r="H32" s="10" t="n"/>
      <c r="I32" s="24" t="n"/>
      <c r="J32" s="11">
        <f>IF(OR(H32="",I32=""),"",H32*I32)</f>
        <v/>
      </c>
      <c r="K32" s="10" t="n"/>
    </row>
    <row r="33">
      <c r="A33" s="23" t="n"/>
      <c r="B33" s="10">
        <f>IF(A33="","",YEAR(A33)&amp;"Q"&amp;ROUNDUP(MONTH(A33)/3,0))</f>
        <v/>
      </c>
      <c r="C33" s="10" t="n"/>
      <c r="D33" s="10">
        <f>IF(C33="","",VLOOKUP(C33,계좌설정!$A:$C,3,FALSE))</f>
        <v/>
      </c>
      <c r="E33" s="10" t="n"/>
      <c r="F33" s="10">
        <f>IF(E33="","",VLOOKUP(E33,계좌설정!$E:$F,2,FALSE))</f>
        <v/>
      </c>
      <c r="G33" s="10" t="n"/>
      <c r="H33" s="10" t="n"/>
      <c r="I33" s="24" t="n"/>
      <c r="J33" s="11">
        <f>IF(OR(H33="",I33=""),"",H33*I33)</f>
        <v/>
      </c>
      <c r="K33" s="10" t="n"/>
    </row>
    <row r="34">
      <c r="A34" s="23" t="n"/>
      <c r="B34" s="10">
        <f>IF(A34="","",YEAR(A34)&amp;"Q"&amp;ROUNDUP(MONTH(A34)/3,0))</f>
        <v/>
      </c>
      <c r="C34" s="10" t="n"/>
      <c r="D34" s="10">
        <f>IF(C34="","",VLOOKUP(C34,계좌설정!$A:$C,3,FALSE))</f>
        <v/>
      </c>
      <c r="E34" s="10" t="n"/>
      <c r="F34" s="10">
        <f>IF(E34="","",VLOOKUP(E34,계좌설정!$E:$F,2,FALSE))</f>
        <v/>
      </c>
      <c r="G34" s="10" t="n"/>
      <c r="H34" s="10" t="n"/>
      <c r="I34" s="24" t="n"/>
      <c r="J34" s="11">
        <f>IF(OR(H34="",I34=""),"",H34*I34)</f>
        <v/>
      </c>
      <c r="K34" s="10" t="n"/>
    </row>
    <row r="35">
      <c r="A35" s="23" t="n"/>
      <c r="B35" s="10">
        <f>IF(A35="","",YEAR(A35)&amp;"Q"&amp;ROUNDUP(MONTH(A35)/3,0))</f>
        <v/>
      </c>
      <c r="C35" s="10" t="n"/>
      <c r="D35" s="10">
        <f>IF(C35="","",VLOOKUP(C35,계좌설정!$A:$C,3,FALSE))</f>
        <v/>
      </c>
      <c r="E35" s="10" t="n"/>
      <c r="F35" s="10">
        <f>IF(E35="","",VLOOKUP(E35,계좌설정!$E:$F,2,FALSE))</f>
        <v/>
      </c>
      <c r="G35" s="10" t="n"/>
      <c r="H35" s="10" t="n"/>
      <c r="I35" s="24" t="n"/>
      <c r="J35" s="11">
        <f>IF(OR(H35="",I35=""),"",H35*I35)</f>
        <v/>
      </c>
      <c r="K35" s="10" t="n"/>
    </row>
    <row r="36">
      <c r="A36" s="23" t="n"/>
      <c r="B36" s="10">
        <f>IF(A36="","",YEAR(A36)&amp;"Q"&amp;ROUNDUP(MONTH(A36)/3,0))</f>
        <v/>
      </c>
      <c r="C36" s="10" t="n"/>
      <c r="D36" s="10">
        <f>IF(C36="","",VLOOKUP(C36,계좌설정!$A:$C,3,FALSE))</f>
        <v/>
      </c>
      <c r="E36" s="10" t="n"/>
      <c r="F36" s="10">
        <f>IF(E36="","",VLOOKUP(E36,계좌설정!$E:$F,2,FALSE))</f>
        <v/>
      </c>
      <c r="G36" s="10" t="n"/>
      <c r="H36" s="10" t="n"/>
      <c r="I36" s="24" t="n"/>
      <c r="J36" s="11">
        <f>IF(OR(H36="",I36=""),"",H36*I36)</f>
        <v/>
      </c>
      <c r="K36" s="10" t="n"/>
    </row>
    <row r="37">
      <c r="A37" s="23" t="n"/>
      <c r="B37" s="10">
        <f>IF(A37="","",YEAR(A37)&amp;"Q"&amp;ROUNDUP(MONTH(A37)/3,0))</f>
        <v/>
      </c>
      <c r="C37" s="10" t="n"/>
      <c r="D37" s="10">
        <f>IF(C37="","",VLOOKUP(C37,계좌설정!$A:$C,3,FALSE))</f>
        <v/>
      </c>
      <c r="E37" s="10" t="n"/>
      <c r="F37" s="10">
        <f>IF(E37="","",VLOOKUP(E37,계좌설정!$E:$F,2,FALSE))</f>
        <v/>
      </c>
      <c r="G37" s="10" t="n"/>
      <c r="H37" s="10" t="n"/>
      <c r="I37" s="24" t="n"/>
      <c r="J37" s="11">
        <f>IF(OR(H37="",I37=""),"",H37*I37)</f>
        <v/>
      </c>
      <c r="K37" s="10" t="n"/>
    </row>
    <row r="38">
      <c r="A38" s="23" t="n"/>
      <c r="B38" s="10">
        <f>IF(A38="","",YEAR(A38)&amp;"Q"&amp;ROUNDUP(MONTH(A38)/3,0))</f>
        <v/>
      </c>
      <c r="C38" s="10" t="n"/>
      <c r="D38" s="10">
        <f>IF(C38="","",VLOOKUP(C38,계좌설정!$A:$C,3,FALSE))</f>
        <v/>
      </c>
      <c r="E38" s="10" t="n"/>
      <c r="F38" s="10">
        <f>IF(E38="","",VLOOKUP(E38,계좌설정!$E:$F,2,FALSE))</f>
        <v/>
      </c>
      <c r="G38" s="10" t="n"/>
      <c r="H38" s="10" t="n"/>
      <c r="I38" s="24" t="n"/>
      <c r="J38" s="11">
        <f>IF(OR(H38="",I38=""),"",H38*I38)</f>
        <v/>
      </c>
      <c r="K38" s="10" t="n"/>
    </row>
    <row r="39">
      <c r="A39" s="23" t="n"/>
      <c r="B39" s="10">
        <f>IF(A39="","",YEAR(A39)&amp;"Q"&amp;ROUNDUP(MONTH(A39)/3,0))</f>
        <v/>
      </c>
      <c r="C39" s="10" t="n"/>
      <c r="D39" s="10">
        <f>IF(C39="","",VLOOKUP(C39,계좌설정!$A:$C,3,FALSE))</f>
        <v/>
      </c>
      <c r="E39" s="10" t="n"/>
      <c r="F39" s="10">
        <f>IF(E39="","",VLOOKUP(E39,계좌설정!$E:$F,2,FALSE))</f>
        <v/>
      </c>
      <c r="G39" s="10" t="n"/>
      <c r="H39" s="10" t="n"/>
      <c r="I39" s="24" t="n"/>
      <c r="J39" s="11">
        <f>IF(OR(H39="",I39=""),"",H39*I39)</f>
        <v/>
      </c>
      <c r="K39" s="10" t="n"/>
    </row>
    <row r="40">
      <c r="A40" s="23" t="n"/>
      <c r="B40" s="10">
        <f>IF(A40="","",YEAR(A40)&amp;"Q"&amp;ROUNDUP(MONTH(A40)/3,0))</f>
        <v/>
      </c>
      <c r="C40" s="10" t="n"/>
      <c r="D40" s="10">
        <f>IF(C40="","",VLOOKUP(C40,계좌설정!$A:$C,3,FALSE))</f>
        <v/>
      </c>
      <c r="E40" s="10" t="n"/>
      <c r="F40" s="10">
        <f>IF(E40="","",VLOOKUP(E40,계좌설정!$E:$F,2,FALSE))</f>
        <v/>
      </c>
      <c r="G40" s="10" t="n"/>
      <c r="H40" s="10" t="n"/>
      <c r="I40" s="24" t="n"/>
      <c r="J40" s="11">
        <f>IF(OR(H40="",I40=""),"",H40*I40)</f>
        <v/>
      </c>
      <c r="K40" s="10" t="n"/>
    </row>
    <row r="41">
      <c r="A41" s="23" t="n"/>
      <c r="B41" s="10">
        <f>IF(A41="","",YEAR(A41)&amp;"Q"&amp;ROUNDUP(MONTH(A41)/3,0))</f>
        <v/>
      </c>
      <c r="C41" s="10" t="n"/>
      <c r="D41" s="10">
        <f>IF(C41="","",VLOOKUP(C41,계좌설정!$A:$C,3,FALSE))</f>
        <v/>
      </c>
      <c r="E41" s="10" t="n"/>
      <c r="F41" s="10">
        <f>IF(E41="","",VLOOKUP(E41,계좌설정!$E:$F,2,FALSE))</f>
        <v/>
      </c>
      <c r="G41" s="10" t="n"/>
      <c r="H41" s="10" t="n"/>
      <c r="I41" s="24" t="n"/>
      <c r="J41" s="11">
        <f>IF(OR(H41="",I41=""),"",H41*I41)</f>
        <v/>
      </c>
      <c r="K41" s="10" t="n"/>
    </row>
    <row r="42">
      <c r="A42" s="23" t="n"/>
      <c r="B42" s="10">
        <f>IF(A42="","",YEAR(A42)&amp;"Q"&amp;ROUNDUP(MONTH(A42)/3,0))</f>
        <v/>
      </c>
      <c r="C42" s="10" t="n"/>
      <c r="D42" s="10">
        <f>IF(C42="","",VLOOKUP(C42,계좌설정!$A:$C,3,FALSE))</f>
        <v/>
      </c>
      <c r="E42" s="10" t="n"/>
      <c r="F42" s="10">
        <f>IF(E42="","",VLOOKUP(E42,계좌설정!$E:$F,2,FALSE))</f>
        <v/>
      </c>
      <c r="G42" s="10" t="n"/>
      <c r="H42" s="10" t="n"/>
      <c r="I42" s="24" t="n"/>
      <c r="J42" s="11">
        <f>IF(OR(H42="",I42=""),"",H42*I42)</f>
        <v/>
      </c>
      <c r="K42" s="10" t="n"/>
    </row>
    <row r="43">
      <c r="A43" s="23" t="n"/>
      <c r="B43" s="10">
        <f>IF(A43="","",YEAR(A43)&amp;"Q"&amp;ROUNDUP(MONTH(A43)/3,0))</f>
        <v/>
      </c>
      <c r="C43" s="10" t="n"/>
      <c r="D43" s="10">
        <f>IF(C43="","",VLOOKUP(C43,계좌설정!$A:$C,3,FALSE))</f>
        <v/>
      </c>
      <c r="E43" s="10" t="n"/>
      <c r="F43" s="10">
        <f>IF(E43="","",VLOOKUP(E43,계좌설정!$E:$F,2,FALSE))</f>
        <v/>
      </c>
      <c r="G43" s="10" t="n"/>
      <c r="H43" s="10" t="n"/>
      <c r="I43" s="24" t="n"/>
      <c r="J43" s="11">
        <f>IF(OR(H43="",I43=""),"",H43*I43)</f>
        <v/>
      </c>
      <c r="K43" s="10" t="n"/>
    </row>
    <row r="44">
      <c r="A44" s="23" t="n"/>
      <c r="B44" s="10">
        <f>IF(A44="","",YEAR(A44)&amp;"Q"&amp;ROUNDUP(MONTH(A44)/3,0))</f>
        <v/>
      </c>
      <c r="C44" s="10" t="n"/>
      <c r="D44" s="10">
        <f>IF(C44="","",VLOOKUP(C44,계좌설정!$A:$C,3,FALSE))</f>
        <v/>
      </c>
      <c r="E44" s="10" t="n"/>
      <c r="F44" s="10">
        <f>IF(E44="","",VLOOKUP(E44,계좌설정!$E:$F,2,FALSE))</f>
        <v/>
      </c>
      <c r="G44" s="10" t="n"/>
      <c r="H44" s="10" t="n"/>
      <c r="I44" s="24" t="n"/>
      <c r="J44" s="11">
        <f>IF(OR(H44="",I44=""),"",H44*I44)</f>
        <v/>
      </c>
      <c r="K44" s="10" t="n"/>
    </row>
    <row r="45">
      <c r="A45" s="23" t="n"/>
      <c r="B45" s="10">
        <f>IF(A45="","",YEAR(A45)&amp;"Q"&amp;ROUNDUP(MONTH(A45)/3,0))</f>
        <v/>
      </c>
      <c r="C45" s="10" t="n"/>
      <c r="D45" s="10">
        <f>IF(C45="","",VLOOKUP(C45,계좌설정!$A:$C,3,FALSE))</f>
        <v/>
      </c>
      <c r="E45" s="10" t="n"/>
      <c r="F45" s="10">
        <f>IF(E45="","",VLOOKUP(E45,계좌설정!$E:$F,2,FALSE))</f>
        <v/>
      </c>
      <c r="G45" s="10" t="n"/>
      <c r="H45" s="10" t="n"/>
      <c r="I45" s="24" t="n"/>
      <c r="J45" s="11">
        <f>IF(OR(H45="",I45=""),"",H45*I45)</f>
        <v/>
      </c>
      <c r="K45" s="10" t="n"/>
    </row>
    <row r="46">
      <c r="A46" s="23" t="n"/>
      <c r="B46" s="10">
        <f>IF(A46="","",YEAR(A46)&amp;"Q"&amp;ROUNDUP(MONTH(A46)/3,0))</f>
        <v/>
      </c>
      <c r="C46" s="10" t="n"/>
      <c r="D46" s="10">
        <f>IF(C46="","",VLOOKUP(C46,계좌설정!$A:$C,3,FALSE))</f>
        <v/>
      </c>
      <c r="E46" s="10" t="n"/>
      <c r="F46" s="10">
        <f>IF(E46="","",VLOOKUP(E46,계좌설정!$E:$F,2,FALSE))</f>
        <v/>
      </c>
      <c r="G46" s="10" t="n"/>
      <c r="H46" s="10" t="n"/>
      <c r="I46" s="24" t="n"/>
      <c r="J46" s="11">
        <f>IF(OR(H46="",I46=""),"",H46*I46)</f>
        <v/>
      </c>
      <c r="K46" s="10" t="n"/>
    </row>
    <row r="47">
      <c r="A47" s="23" t="n"/>
      <c r="B47" s="10">
        <f>IF(A47="","",YEAR(A47)&amp;"Q"&amp;ROUNDUP(MONTH(A47)/3,0))</f>
        <v/>
      </c>
      <c r="C47" s="10" t="n"/>
      <c r="D47" s="10">
        <f>IF(C47="","",VLOOKUP(C47,계좌설정!$A:$C,3,FALSE))</f>
        <v/>
      </c>
      <c r="E47" s="10" t="n"/>
      <c r="F47" s="10">
        <f>IF(E47="","",VLOOKUP(E47,계좌설정!$E:$F,2,FALSE))</f>
        <v/>
      </c>
      <c r="G47" s="10" t="n"/>
      <c r="H47" s="10" t="n"/>
      <c r="I47" s="24" t="n"/>
      <c r="J47" s="11">
        <f>IF(OR(H47="",I47=""),"",H47*I47)</f>
        <v/>
      </c>
      <c r="K47" s="10" t="n"/>
    </row>
    <row r="48">
      <c r="A48" s="23" t="n"/>
      <c r="B48" s="10">
        <f>IF(A48="","",YEAR(A48)&amp;"Q"&amp;ROUNDUP(MONTH(A48)/3,0))</f>
        <v/>
      </c>
      <c r="C48" s="10" t="n"/>
      <c r="D48" s="10">
        <f>IF(C48="","",VLOOKUP(C48,계좌설정!$A:$C,3,FALSE))</f>
        <v/>
      </c>
      <c r="E48" s="10" t="n"/>
      <c r="F48" s="10">
        <f>IF(E48="","",VLOOKUP(E48,계좌설정!$E:$F,2,FALSE))</f>
        <v/>
      </c>
      <c r="G48" s="10" t="n"/>
      <c r="H48" s="10" t="n"/>
      <c r="I48" s="24" t="n"/>
      <c r="J48" s="11">
        <f>IF(OR(H48="",I48=""),"",H48*I48)</f>
        <v/>
      </c>
      <c r="K48" s="10" t="n"/>
    </row>
    <row r="49">
      <c r="A49" s="23" t="n"/>
      <c r="B49" s="10">
        <f>IF(A49="","",YEAR(A49)&amp;"Q"&amp;ROUNDUP(MONTH(A49)/3,0))</f>
        <v/>
      </c>
      <c r="C49" s="10" t="n"/>
      <c r="D49" s="10">
        <f>IF(C49="","",VLOOKUP(C49,계좌설정!$A:$C,3,FALSE))</f>
        <v/>
      </c>
      <c r="E49" s="10" t="n"/>
      <c r="F49" s="10">
        <f>IF(E49="","",VLOOKUP(E49,계좌설정!$E:$F,2,FALSE))</f>
        <v/>
      </c>
      <c r="G49" s="10" t="n"/>
      <c r="H49" s="10" t="n"/>
      <c r="I49" s="24" t="n"/>
      <c r="J49" s="11">
        <f>IF(OR(H49="",I49=""),"",H49*I49)</f>
        <v/>
      </c>
      <c r="K49" s="10" t="n"/>
    </row>
    <row r="50">
      <c r="A50" s="23" t="n"/>
      <c r="B50" s="10">
        <f>IF(A50="","",YEAR(A50)&amp;"Q"&amp;ROUNDUP(MONTH(A50)/3,0))</f>
        <v/>
      </c>
      <c r="C50" s="10" t="n"/>
      <c r="D50" s="10">
        <f>IF(C50="","",VLOOKUP(C50,계좌설정!$A:$C,3,FALSE))</f>
        <v/>
      </c>
      <c r="E50" s="10" t="n"/>
      <c r="F50" s="10">
        <f>IF(E50="","",VLOOKUP(E50,계좌설정!$E:$F,2,FALSE))</f>
        <v/>
      </c>
      <c r="G50" s="10" t="n"/>
      <c r="H50" s="10" t="n"/>
      <c r="I50" s="24" t="n"/>
      <c r="J50" s="11">
        <f>IF(OR(H50="",I50=""),"",H50*I50)</f>
        <v/>
      </c>
      <c r="K50" s="10" t="n"/>
    </row>
    <row r="51">
      <c r="A51" s="23" t="n"/>
      <c r="B51" s="10">
        <f>IF(A51="","",YEAR(A51)&amp;"Q"&amp;ROUNDUP(MONTH(A51)/3,0))</f>
        <v/>
      </c>
      <c r="C51" s="10" t="n"/>
      <c r="D51" s="10">
        <f>IF(C51="","",VLOOKUP(C51,계좌설정!$A:$C,3,FALSE))</f>
        <v/>
      </c>
      <c r="E51" s="10" t="n"/>
      <c r="F51" s="10">
        <f>IF(E51="","",VLOOKUP(E51,계좌설정!$E:$F,2,FALSE))</f>
        <v/>
      </c>
      <c r="G51" s="10" t="n"/>
      <c r="H51" s="10" t="n"/>
      <c r="I51" s="24" t="n"/>
      <c r="J51" s="11">
        <f>IF(OR(H51="",I51=""),"",H51*I51)</f>
        <v/>
      </c>
      <c r="K51" s="10" t="n"/>
    </row>
    <row r="52">
      <c r="A52" s="23" t="n"/>
      <c r="B52" s="10">
        <f>IF(A52="","",YEAR(A52)&amp;"Q"&amp;ROUNDUP(MONTH(A52)/3,0))</f>
        <v/>
      </c>
      <c r="C52" s="10" t="n"/>
      <c r="D52" s="10">
        <f>IF(C52="","",VLOOKUP(C52,계좌설정!$A:$C,3,FALSE))</f>
        <v/>
      </c>
      <c r="E52" s="10" t="n"/>
      <c r="F52" s="10">
        <f>IF(E52="","",VLOOKUP(E52,계좌설정!$E:$F,2,FALSE))</f>
        <v/>
      </c>
      <c r="G52" s="10" t="n"/>
      <c r="H52" s="10" t="n"/>
      <c r="I52" s="24" t="n"/>
      <c r="J52" s="11">
        <f>IF(OR(H52="",I52=""),"",H52*I52)</f>
        <v/>
      </c>
      <c r="K52" s="10" t="n"/>
    </row>
    <row r="53">
      <c r="A53" s="23" t="n"/>
      <c r="B53" s="10">
        <f>IF(A53="","",YEAR(A53)&amp;"Q"&amp;ROUNDUP(MONTH(A53)/3,0))</f>
        <v/>
      </c>
      <c r="C53" s="10" t="n"/>
      <c r="D53" s="10">
        <f>IF(C53="","",VLOOKUP(C53,계좌설정!$A:$C,3,FALSE))</f>
        <v/>
      </c>
      <c r="E53" s="10" t="n"/>
      <c r="F53" s="10">
        <f>IF(E53="","",VLOOKUP(E53,계좌설정!$E:$F,2,FALSE))</f>
        <v/>
      </c>
      <c r="G53" s="10" t="n"/>
      <c r="H53" s="10" t="n"/>
      <c r="I53" s="24" t="n"/>
      <c r="J53" s="11">
        <f>IF(OR(H53="",I53=""),"",H53*I53)</f>
        <v/>
      </c>
      <c r="K53" s="10" t="n"/>
    </row>
    <row r="54">
      <c r="A54" s="23" t="n"/>
      <c r="B54" s="10">
        <f>IF(A54="","",YEAR(A54)&amp;"Q"&amp;ROUNDUP(MONTH(A54)/3,0))</f>
        <v/>
      </c>
      <c r="C54" s="10" t="n"/>
      <c r="D54" s="10">
        <f>IF(C54="","",VLOOKUP(C54,계좌설정!$A:$C,3,FALSE))</f>
        <v/>
      </c>
      <c r="E54" s="10" t="n"/>
      <c r="F54" s="10">
        <f>IF(E54="","",VLOOKUP(E54,계좌설정!$E:$F,2,FALSE))</f>
        <v/>
      </c>
      <c r="G54" s="10" t="n"/>
      <c r="H54" s="10" t="n"/>
      <c r="I54" s="24" t="n"/>
      <c r="J54" s="11">
        <f>IF(OR(H54="",I54=""),"",H54*I54)</f>
        <v/>
      </c>
      <c r="K54" s="10" t="n"/>
    </row>
    <row r="55">
      <c r="A55" s="23" t="n"/>
      <c r="B55" s="10">
        <f>IF(A55="","",YEAR(A55)&amp;"Q"&amp;ROUNDUP(MONTH(A55)/3,0))</f>
        <v/>
      </c>
      <c r="C55" s="10" t="n"/>
      <c r="D55" s="10">
        <f>IF(C55="","",VLOOKUP(C55,계좌설정!$A:$C,3,FALSE))</f>
        <v/>
      </c>
      <c r="E55" s="10" t="n"/>
      <c r="F55" s="10">
        <f>IF(E55="","",VLOOKUP(E55,계좌설정!$E:$F,2,FALSE))</f>
        <v/>
      </c>
      <c r="G55" s="10" t="n"/>
      <c r="H55" s="10" t="n"/>
      <c r="I55" s="24" t="n"/>
      <c r="J55" s="11">
        <f>IF(OR(H55="",I55=""),"",H55*I55)</f>
        <v/>
      </c>
      <c r="K55" s="10" t="n"/>
    </row>
    <row r="56">
      <c r="A56" s="23" t="n"/>
      <c r="B56" s="10">
        <f>IF(A56="","",YEAR(A56)&amp;"Q"&amp;ROUNDUP(MONTH(A56)/3,0))</f>
        <v/>
      </c>
      <c r="C56" s="10" t="n"/>
      <c r="D56" s="10">
        <f>IF(C56="","",VLOOKUP(C56,계좌설정!$A:$C,3,FALSE))</f>
        <v/>
      </c>
      <c r="E56" s="10" t="n"/>
      <c r="F56" s="10">
        <f>IF(E56="","",VLOOKUP(E56,계좌설정!$E:$F,2,FALSE))</f>
        <v/>
      </c>
      <c r="G56" s="10" t="n"/>
      <c r="H56" s="10" t="n"/>
      <c r="I56" s="24" t="n"/>
      <c r="J56" s="11">
        <f>IF(OR(H56="",I56=""),"",H56*I56)</f>
        <v/>
      </c>
      <c r="K56" s="10" t="n"/>
    </row>
    <row r="57">
      <c r="A57" s="23" t="n"/>
      <c r="B57" s="10">
        <f>IF(A57="","",YEAR(A57)&amp;"Q"&amp;ROUNDUP(MONTH(A57)/3,0))</f>
        <v/>
      </c>
      <c r="C57" s="10" t="n"/>
      <c r="D57" s="10">
        <f>IF(C57="","",VLOOKUP(C57,계좌설정!$A:$C,3,FALSE))</f>
        <v/>
      </c>
      <c r="E57" s="10" t="n"/>
      <c r="F57" s="10">
        <f>IF(E57="","",VLOOKUP(E57,계좌설정!$E:$F,2,FALSE))</f>
        <v/>
      </c>
      <c r="G57" s="10" t="n"/>
      <c r="H57" s="10" t="n"/>
      <c r="I57" s="24" t="n"/>
      <c r="J57" s="11">
        <f>IF(OR(H57="",I57=""),"",H57*I57)</f>
        <v/>
      </c>
      <c r="K57" s="10" t="n"/>
    </row>
    <row r="58">
      <c r="A58" s="23" t="n"/>
      <c r="B58" s="10">
        <f>IF(A58="","",YEAR(A58)&amp;"Q"&amp;ROUNDUP(MONTH(A58)/3,0))</f>
        <v/>
      </c>
      <c r="C58" s="10" t="n"/>
      <c r="D58" s="10">
        <f>IF(C58="","",VLOOKUP(C58,계좌설정!$A:$C,3,FALSE))</f>
        <v/>
      </c>
      <c r="E58" s="10" t="n"/>
      <c r="F58" s="10">
        <f>IF(E58="","",VLOOKUP(E58,계좌설정!$E:$F,2,FALSE))</f>
        <v/>
      </c>
      <c r="G58" s="10" t="n"/>
      <c r="H58" s="10" t="n"/>
      <c r="I58" s="24" t="n"/>
      <c r="J58" s="11">
        <f>IF(OR(H58="",I58=""),"",H58*I58)</f>
        <v/>
      </c>
      <c r="K58" s="10" t="n"/>
    </row>
    <row r="59">
      <c r="A59" s="23" t="n"/>
      <c r="B59" s="10">
        <f>IF(A59="","",YEAR(A59)&amp;"Q"&amp;ROUNDUP(MONTH(A59)/3,0))</f>
        <v/>
      </c>
      <c r="C59" s="10" t="n"/>
      <c r="D59" s="10">
        <f>IF(C59="","",VLOOKUP(C59,계좌설정!$A:$C,3,FALSE))</f>
        <v/>
      </c>
      <c r="E59" s="10" t="n"/>
      <c r="F59" s="10">
        <f>IF(E59="","",VLOOKUP(E59,계좌설정!$E:$F,2,FALSE))</f>
        <v/>
      </c>
      <c r="G59" s="10" t="n"/>
      <c r="H59" s="10" t="n"/>
      <c r="I59" s="24" t="n"/>
      <c r="J59" s="11">
        <f>IF(OR(H59="",I59=""),"",H59*I59)</f>
        <v/>
      </c>
      <c r="K59" s="10" t="n"/>
    </row>
    <row r="60">
      <c r="A60" s="23" t="n"/>
      <c r="B60" s="10">
        <f>IF(A60="","",YEAR(A60)&amp;"Q"&amp;ROUNDUP(MONTH(A60)/3,0))</f>
        <v/>
      </c>
      <c r="C60" s="10" t="n"/>
      <c r="D60" s="10">
        <f>IF(C60="","",VLOOKUP(C60,계좌설정!$A:$C,3,FALSE))</f>
        <v/>
      </c>
      <c r="E60" s="10" t="n"/>
      <c r="F60" s="10">
        <f>IF(E60="","",VLOOKUP(E60,계좌설정!$E:$F,2,FALSE))</f>
        <v/>
      </c>
      <c r="G60" s="10" t="n"/>
      <c r="H60" s="10" t="n"/>
      <c r="I60" s="24" t="n"/>
      <c r="J60" s="11">
        <f>IF(OR(H60="",I60=""),"",H60*I60)</f>
        <v/>
      </c>
      <c r="K60" s="10" t="n"/>
    </row>
    <row r="61">
      <c r="A61" s="23" t="n"/>
      <c r="B61" s="10">
        <f>IF(A61="","",YEAR(A61)&amp;"Q"&amp;ROUNDUP(MONTH(A61)/3,0))</f>
        <v/>
      </c>
      <c r="C61" s="10" t="n"/>
      <c r="D61" s="10">
        <f>IF(C61="","",VLOOKUP(C61,계좌설정!$A:$C,3,FALSE))</f>
        <v/>
      </c>
      <c r="E61" s="10" t="n"/>
      <c r="F61" s="10">
        <f>IF(E61="","",VLOOKUP(E61,계좌설정!$E:$F,2,FALSE))</f>
        <v/>
      </c>
      <c r="G61" s="10" t="n"/>
      <c r="H61" s="10" t="n"/>
      <c r="I61" s="24" t="n"/>
      <c r="J61" s="11">
        <f>IF(OR(H61="",I61=""),"",H61*I61)</f>
        <v/>
      </c>
      <c r="K61" s="10" t="n"/>
    </row>
    <row r="62">
      <c r="A62" s="23" t="n"/>
      <c r="B62" s="10">
        <f>IF(A62="","",YEAR(A62)&amp;"Q"&amp;ROUNDUP(MONTH(A62)/3,0))</f>
        <v/>
      </c>
      <c r="C62" s="10" t="n"/>
      <c r="D62" s="10">
        <f>IF(C62="","",VLOOKUP(C62,계좌설정!$A:$C,3,FALSE))</f>
        <v/>
      </c>
      <c r="E62" s="10" t="n"/>
      <c r="F62" s="10">
        <f>IF(E62="","",VLOOKUP(E62,계좌설정!$E:$F,2,FALSE))</f>
        <v/>
      </c>
      <c r="G62" s="10" t="n"/>
      <c r="H62" s="10" t="n"/>
      <c r="I62" s="24" t="n"/>
      <c r="J62" s="11">
        <f>IF(OR(H62="",I62=""),"",H62*I62)</f>
        <v/>
      </c>
      <c r="K62" s="10" t="n"/>
    </row>
    <row r="63">
      <c r="A63" s="23" t="n"/>
      <c r="B63" s="10">
        <f>IF(A63="","",YEAR(A63)&amp;"Q"&amp;ROUNDUP(MONTH(A63)/3,0))</f>
        <v/>
      </c>
      <c r="C63" s="10" t="n"/>
      <c r="D63" s="10">
        <f>IF(C63="","",VLOOKUP(C63,계좌설정!$A:$C,3,FALSE))</f>
        <v/>
      </c>
      <c r="E63" s="10" t="n"/>
      <c r="F63" s="10">
        <f>IF(E63="","",VLOOKUP(E63,계좌설정!$E:$F,2,FALSE))</f>
        <v/>
      </c>
      <c r="G63" s="10" t="n"/>
      <c r="H63" s="10" t="n"/>
      <c r="I63" s="24" t="n"/>
      <c r="J63" s="11">
        <f>IF(OR(H63="",I63=""),"",H63*I63)</f>
        <v/>
      </c>
      <c r="K63" s="10" t="n"/>
    </row>
    <row r="64">
      <c r="A64" s="23" t="n"/>
      <c r="B64" s="10">
        <f>IF(A64="","",YEAR(A64)&amp;"Q"&amp;ROUNDUP(MONTH(A64)/3,0))</f>
        <v/>
      </c>
      <c r="C64" s="10" t="n"/>
      <c r="D64" s="10">
        <f>IF(C64="","",VLOOKUP(C64,계좌설정!$A:$C,3,FALSE))</f>
        <v/>
      </c>
      <c r="E64" s="10" t="n"/>
      <c r="F64" s="10">
        <f>IF(E64="","",VLOOKUP(E64,계좌설정!$E:$F,2,FALSE))</f>
        <v/>
      </c>
      <c r="G64" s="10" t="n"/>
      <c r="H64" s="10" t="n"/>
      <c r="I64" s="24" t="n"/>
      <c r="J64" s="11">
        <f>IF(OR(H64="",I64=""),"",H64*I64)</f>
        <v/>
      </c>
      <c r="K64" s="10" t="n"/>
    </row>
  </sheetData>
  <dataValidations count="2">
    <dataValidation sqref="C5:C64" showDropDown="0" showInputMessage="0" showErrorMessage="0" allowBlank="1" type="list">
      <formula1>"A1,A2,B1,B2"</formula1>
    </dataValidation>
    <dataValidation sqref="G5:G64" showDropDown="0" showInputMessage="0" showErrorMessage="0" allowBlank="1" type="list">
      <formula1>"매수,매도"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20" customWidth="1" min="3" max="3"/>
    <col width="16" customWidth="1" min="4" max="4"/>
    <col width="16" customWidth="1" min="5" max="5"/>
    <col width="14" customWidth="1" min="6" max="6"/>
    <col width="14" customWidth="1" min="7" max="7"/>
    <col width="12" customWidth="1" min="8" max="8"/>
  </cols>
  <sheetData>
    <row r="1">
      <c r="A1" s="13" t="inlineStr">
        <is>
          <t>분기별 총자산 시계열 스냅샷</t>
        </is>
      </c>
    </row>
    <row r="2">
      <c r="A2" s="22" t="inlineStr">
        <is>
          <t>매 분기 리밸런싱 직후, 계좌별 평가금액 합계를 한 줄씩 '값으로' 입력하세요 (현황_리밸런싱의 계좌합계금액을 복사).</t>
        </is>
      </c>
    </row>
    <row r="4">
      <c r="A4" s="9" t="inlineStr">
        <is>
          <t>날짜</t>
        </is>
      </c>
      <c r="B4" s="9">
        <f>계좌설정!C5</f>
        <v/>
      </c>
      <c r="C4" s="9">
        <f>계좌설정!C9</f>
        <v/>
      </c>
      <c r="D4" s="9">
        <f>계좌설정!C13</f>
        <v/>
      </c>
      <c r="E4" s="9">
        <f>계좌설정!C17</f>
        <v/>
      </c>
      <c r="F4" s="9" t="inlineStr">
        <is>
          <t>총자산</t>
        </is>
      </c>
      <c r="G4" s="9" t="inlineStr">
        <is>
          <t>전기대비증감액</t>
        </is>
      </c>
      <c r="H4" s="9" t="inlineStr">
        <is>
          <t>전기대비증감률</t>
        </is>
      </c>
    </row>
    <row r="5">
      <c r="A5" s="23" t="n"/>
      <c r="B5" s="17" t="n"/>
      <c r="C5" s="17" t="n"/>
      <c r="D5" s="17" t="n"/>
      <c r="E5" s="17" t="n"/>
      <c r="F5" s="11">
        <f>IF(SUM(B5:E5)=0,"",SUM(B5:E5))</f>
        <v/>
      </c>
      <c r="G5" s="10" t="inlineStr"/>
      <c r="H5" s="10" t="inlineStr"/>
    </row>
    <row r="6">
      <c r="A6" s="23" t="n"/>
      <c r="B6" s="17" t="n"/>
      <c r="C6" s="17" t="n"/>
      <c r="D6" s="17" t="n"/>
      <c r="E6" s="17" t="n"/>
      <c r="F6" s="11">
        <f>IF(SUM(B6:E6)=0,"",SUM(B6:E6))</f>
        <v/>
      </c>
      <c r="G6" s="11">
        <f>IF(OR(F6="",F5=""),"",F6-F5)</f>
        <v/>
      </c>
      <c r="H6" s="12">
        <f>IF(OR(F6="",F5="",F5=0),"",F6/F5-1)</f>
        <v/>
      </c>
    </row>
    <row r="7">
      <c r="A7" s="23" t="n"/>
      <c r="B7" s="17" t="n"/>
      <c r="C7" s="17" t="n"/>
      <c r="D7" s="17" t="n"/>
      <c r="E7" s="17" t="n"/>
      <c r="F7" s="11">
        <f>IF(SUM(B7:E7)=0,"",SUM(B7:E7))</f>
        <v/>
      </c>
      <c r="G7" s="11">
        <f>IF(OR(F7="",F6=""),"",F7-F6)</f>
        <v/>
      </c>
      <c r="H7" s="12">
        <f>IF(OR(F7="",F6="",F6=0),"",F7/F6-1)</f>
        <v/>
      </c>
    </row>
    <row r="8">
      <c r="A8" s="23" t="n"/>
      <c r="B8" s="17" t="n"/>
      <c r="C8" s="17" t="n"/>
      <c r="D8" s="17" t="n"/>
      <c r="E8" s="17" t="n"/>
      <c r="F8" s="11">
        <f>IF(SUM(B8:E8)=0,"",SUM(B8:E8))</f>
        <v/>
      </c>
      <c r="G8" s="11">
        <f>IF(OR(F8="",F7=""),"",F8-F7)</f>
        <v/>
      </c>
      <c r="H8" s="12">
        <f>IF(OR(F8="",F7="",F7=0),"",F8/F7-1)</f>
        <v/>
      </c>
    </row>
    <row r="9">
      <c r="A9" s="23" t="n"/>
      <c r="B9" s="17" t="n"/>
      <c r="C9" s="17" t="n"/>
      <c r="D9" s="17" t="n"/>
      <c r="E9" s="17" t="n"/>
      <c r="F9" s="11">
        <f>IF(SUM(B9:E9)=0,"",SUM(B9:E9))</f>
        <v/>
      </c>
      <c r="G9" s="11">
        <f>IF(OR(F9="",F8=""),"",F9-F8)</f>
        <v/>
      </c>
      <c r="H9" s="12">
        <f>IF(OR(F9="",F8="",F8=0),"",F9/F8-1)</f>
        <v/>
      </c>
    </row>
    <row r="10">
      <c r="A10" s="23" t="n"/>
      <c r="B10" s="17" t="n"/>
      <c r="C10" s="17" t="n"/>
      <c r="D10" s="17" t="n"/>
      <c r="E10" s="17" t="n"/>
      <c r="F10" s="11">
        <f>IF(SUM(B10:E10)=0,"",SUM(B10:E10))</f>
        <v/>
      </c>
      <c r="G10" s="11">
        <f>IF(OR(F10="",F9=""),"",F10-F9)</f>
        <v/>
      </c>
      <c r="H10" s="12">
        <f>IF(OR(F10="",F9="",F9=0),"",F10/F9-1)</f>
        <v/>
      </c>
    </row>
    <row r="11">
      <c r="A11" s="23" t="n"/>
      <c r="B11" s="17" t="n"/>
      <c r="C11" s="17" t="n"/>
      <c r="D11" s="17" t="n"/>
      <c r="E11" s="17" t="n"/>
      <c r="F11" s="11">
        <f>IF(SUM(B11:E11)=0,"",SUM(B11:E11))</f>
        <v/>
      </c>
      <c r="G11" s="11">
        <f>IF(OR(F11="",F10=""),"",F11-F10)</f>
        <v/>
      </c>
      <c r="H11" s="12">
        <f>IF(OR(F11="",F10="",F10=0),"",F11/F10-1)</f>
        <v/>
      </c>
    </row>
    <row r="12">
      <c r="A12" s="23" t="n"/>
      <c r="B12" s="17" t="n"/>
      <c r="C12" s="17" t="n"/>
      <c r="D12" s="17" t="n"/>
      <c r="E12" s="17" t="n"/>
      <c r="F12" s="11">
        <f>IF(SUM(B12:E12)=0,"",SUM(B12:E12))</f>
        <v/>
      </c>
      <c r="G12" s="11">
        <f>IF(OR(F12="",F11=""),"",F12-F11)</f>
        <v/>
      </c>
      <c r="H12" s="12">
        <f>IF(OR(F12="",F11="",F11=0),"",F12/F11-1)</f>
        <v/>
      </c>
    </row>
    <row r="13">
      <c r="A13" s="23" t="n"/>
      <c r="B13" s="17" t="n"/>
      <c r="C13" s="17" t="n"/>
      <c r="D13" s="17" t="n"/>
      <c r="E13" s="17" t="n"/>
      <c r="F13" s="11">
        <f>IF(SUM(B13:E13)=0,"",SUM(B13:E13))</f>
        <v/>
      </c>
      <c r="G13" s="11">
        <f>IF(OR(F13="",F12=""),"",F13-F12)</f>
        <v/>
      </c>
      <c r="H13" s="12">
        <f>IF(OR(F13="",F12="",F12=0),"",F13/F12-1)</f>
        <v/>
      </c>
    </row>
    <row r="14">
      <c r="A14" s="23" t="n"/>
      <c r="B14" s="17" t="n"/>
      <c r="C14" s="17" t="n"/>
      <c r="D14" s="17" t="n"/>
      <c r="E14" s="17" t="n"/>
      <c r="F14" s="11">
        <f>IF(SUM(B14:E14)=0,"",SUM(B14:E14))</f>
        <v/>
      </c>
      <c r="G14" s="11">
        <f>IF(OR(F14="",F13=""),"",F14-F13)</f>
        <v/>
      </c>
      <c r="H14" s="12">
        <f>IF(OR(F14="",F13="",F13=0),"",F14/F13-1)</f>
        <v/>
      </c>
    </row>
    <row r="15">
      <c r="A15" s="23" t="n"/>
      <c r="B15" s="17" t="n"/>
      <c r="C15" s="17" t="n"/>
      <c r="D15" s="17" t="n"/>
      <c r="E15" s="17" t="n"/>
      <c r="F15" s="11">
        <f>IF(SUM(B15:E15)=0,"",SUM(B15:E15))</f>
        <v/>
      </c>
      <c r="G15" s="11">
        <f>IF(OR(F15="",F14=""),"",F15-F14)</f>
        <v/>
      </c>
      <c r="H15" s="12">
        <f>IF(OR(F15="",F14="",F14=0),"",F15/F14-1)</f>
        <v/>
      </c>
    </row>
    <row r="16">
      <c r="A16" s="23" t="n"/>
      <c r="B16" s="17" t="n"/>
      <c r="C16" s="17" t="n"/>
      <c r="D16" s="17" t="n"/>
      <c r="E16" s="17" t="n"/>
      <c r="F16" s="11">
        <f>IF(SUM(B16:E16)=0,"",SUM(B16:E16))</f>
        <v/>
      </c>
      <c r="G16" s="11">
        <f>IF(OR(F16="",F15=""),"",F16-F15)</f>
        <v/>
      </c>
      <c r="H16" s="12">
        <f>IF(OR(F16="",F15="",F15=0),"",F16/F15-1)</f>
        <v/>
      </c>
    </row>
    <row r="17">
      <c r="A17" s="23" t="n"/>
      <c r="B17" s="17" t="n"/>
      <c r="C17" s="17" t="n"/>
      <c r="D17" s="17" t="n"/>
      <c r="E17" s="17" t="n"/>
      <c r="F17" s="11">
        <f>IF(SUM(B17:E17)=0,"",SUM(B17:E17))</f>
        <v/>
      </c>
      <c r="G17" s="11">
        <f>IF(OR(F17="",F16=""),"",F17-F16)</f>
        <v/>
      </c>
      <c r="H17" s="12">
        <f>IF(OR(F17="",F16="",F16=0),"",F17/F16-1)</f>
        <v/>
      </c>
    </row>
    <row r="18">
      <c r="A18" s="23" t="n"/>
      <c r="B18" s="17" t="n"/>
      <c r="C18" s="17" t="n"/>
      <c r="D18" s="17" t="n"/>
      <c r="E18" s="17" t="n"/>
      <c r="F18" s="11">
        <f>IF(SUM(B18:E18)=0,"",SUM(B18:E18))</f>
        <v/>
      </c>
      <c r="G18" s="11">
        <f>IF(OR(F18="",F17=""),"",F18-F17)</f>
        <v/>
      </c>
      <c r="H18" s="12">
        <f>IF(OR(F18="",F17="",F17=0),"",F18/F17-1)</f>
        <v/>
      </c>
    </row>
    <row r="19">
      <c r="A19" s="23" t="n"/>
      <c r="B19" s="17" t="n"/>
      <c r="C19" s="17" t="n"/>
      <c r="D19" s="17" t="n"/>
      <c r="E19" s="17" t="n"/>
      <c r="F19" s="11">
        <f>IF(SUM(B19:E19)=0,"",SUM(B19:E19))</f>
        <v/>
      </c>
      <c r="G19" s="11">
        <f>IF(OR(F19="",F18=""),"",F19-F18)</f>
        <v/>
      </c>
      <c r="H19" s="12">
        <f>IF(OR(F19="",F18="",F18=0),"",F19/F18-1)</f>
        <v/>
      </c>
    </row>
    <row r="20">
      <c r="A20" s="23" t="n"/>
      <c r="B20" s="17" t="n"/>
      <c r="C20" s="17" t="n"/>
      <c r="D20" s="17" t="n"/>
      <c r="E20" s="17" t="n"/>
      <c r="F20" s="11">
        <f>IF(SUM(B20:E20)=0,"",SUM(B20:E20))</f>
        <v/>
      </c>
      <c r="G20" s="11">
        <f>IF(OR(F20="",F19=""),"",F20-F19)</f>
        <v/>
      </c>
      <c r="H20" s="12">
        <f>IF(OR(F20="",F19="",F19=0),"",F20/F19-1)</f>
        <v/>
      </c>
    </row>
    <row r="21">
      <c r="A21" s="23" t="n"/>
      <c r="B21" s="17" t="n"/>
      <c r="C21" s="17" t="n"/>
      <c r="D21" s="17" t="n"/>
      <c r="E21" s="17" t="n"/>
      <c r="F21" s="11">
        <f>IF(SUM(B21:E21)=0,"",SUM(B21:E21))</f>
        <v/>
      </c>
      <c r="G21" s="11">
        <f>IF(OR(F21="",F20=""),"",F21-F20)</f>
        <v/>
      </c>
      <c r="H21" s="12">
        <f>IF(OR(F21="",F20="",F20=0),"",F21/F20-1)</f>
        <v/>
      </c>
    </row>
    <row r="22">
      <c r="A22" s="23" t="n"/>
      <c r="B22" s="17" t="n"/>
      <c r="C22" s="17" t="n"/>
      <c r="D22" s="17" t="n"/>
      <c r="E22" s="17" t="n"/>
      <c r="F22" s="11">
        <f>IF(SUM(B22:E22)=0,"",SUM(B22:E22))</f>
        <v/>
      </c>
      <c r="G22" s="11">
        <f>IF(OR(F22="",F21=""),"",F22-F21)</f>
        <v/>
      </c>
      <c r="H22" s="12">
        <f>IF(OR(F22="",F21="",F21=0),"",F22/F21-1)</f>
        <v/>
      </c>
    </row>
    <row r="23">
      <c r="A23" s="23" t="n"/>
      <c r="B23" s="17" t="n"/>
      <c r="C23" s="17" t="n"/>
      <c r="D23" s="17" t="n"/>
      <c r="E23" s="17" t="n"/>
      <c r="F23" s="11">
        <f>IF(SUM(B23:E23)=0,"",SUM(B23:E23))</f>
        <v/>
      </c>
      <c r="G23" s="11">
        <f>IF(OR(F23="",F22=""),"",F23-F22)</f>
        <v/>
      </c>
      <c r="H23" s="12">
        <f>IF(OR(F23="",F22="",F22=0),"",F23/F22-1)</f>
        <v/>
      </c>
    </row>
    <row r="24">
      <c r="A24" s="23" t="n"/>
      <c r="B24" s="17" t="n"/>
      <c r="C24" s="17" t="n"/>
      <c r="D24" s="17" t="n"/>
      <c r="E24" s="17" t="n"/>
      <c r="F24" s="11">
        <f>IF(SUM(B24:E24)=0,"",SUM(B24:E24))</f>
        <v/>
      </c>
      <c r="G24" s="11">
        <f>IF(OR(F24="",F23=""),"",F24-F23)</f>
        <v/>
      </c>
      <c r="H24" s="12">
        <f>IF(OR(F24="",F23="",F23=0),"",F24/F23-1)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3" t="inlineStr">
        <is>
          <t>자산 추이 &amp; 배분 차트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2026-07-11T12:57:20Z</dcterms:created>
  <dcterms:modified xsi:type="dcterms:W3CDTF">2026-07-11T12:57:20Z</dcterms:modified>
</cp:coreProperties>
</file>